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s-b\Documents\coding\website\"/>
    </mc:Choice>
  </mc:AlternateContent>
  <bookViews>
    <workbookView xWindow="0" yWindow="0" windowWidth="23040" windowHeight="9645"/>
  </bookViews>
  <sheets>
    <sheet name="UserInput" sheetId="1" r:id="rId1"/>
    <sheet name="Coordinates" sheetId="2" state="hidden" r:id="rId2"/>
    <sheet name="Calculations Circular" sheetId="7" state="hidden" r:id="rId3"/>
    <sheet name="Calculations Rectangular" sheetId="8" state="hidden" r:id="rId4"/>
    <sheet name="Results" sheetId="5" state="hidden" r:id="rId5"/>
    <sheet name="Comparison" sheetId="9" state="hidden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7" i="7" l="1"/>
  <c r="Q47" i="7"/>
  <c r="P47" i="7"/>
  <c r="O47" i="7"/>
  <c r="N47" i="7"/>
  <c r="M47" i="7"/>
  <c r="L47" i="7"/>
  <c r="K47" i="7"/>
  <c r="J47" i="7"/>
  <c r="I47" i="7"/>
  <c r="R46" i="7"/>
  <c r="Q46" i="7"/>
  <c r="P46" i="7"/>
  <c r="O46" i="7"/>
  <c r="N46" i="7"/>
  <c r="M46" i="7"/>
  <c r="L46" i="7"/>
  <c r="K46" i="7"/>
  <c r="J46" i="7"/>
  <c r="I46" i="7"/>
  <c r="R45" i="7"/>
  <c r="Q45" i="7"/>
  <c r="P45" i="7"/>
  <c r="O45" i="7"/>
  <c r="N45" i="7"/>
  <c r="M45" i="7"/>
  <c r="L45" i="7"/>
  <c r="K45" i="7"/>
  <c r="J45" i="7"/>
  <c r="I45" i="7"/>
  <c r="R44" i="7"/>
  <c r="Q44" i="7"/>
  <c r="P44" i="7"/>
  <c r="O44" i="7"/>
  <c r="N44" i="7"/>
  <c r="M44" i="7"/>
  <c r="L44" i="7"/>
  <c r="K44" i="7"/>
  <c r="J44" i="7"/>
  <c r="I44" i="7"/>
  <c r="R43" i="7"/>
  <c r="Q43" i="7"/>
  <c r="P43" i="7"/>
  <c r="O43" i="7"/>
  <c r="N43" i="7"/>
  <c r="M43" i="7"/>
  <c r="L43" i="7"/>
  <c r="K43" i="7"/>
  <c r="J43" i="7"/>
  <c r="I43" i="7"/>
  <c r="R42" i="7"/>
  <c r="Q42" i="7"/>
  <c r="P42" i="7"/>
  <c r="O42" i="7"/>
  <c r="N42" i="7"/>
  <c r="M42" i="7"/>
  <c r="L42" i="7"/>
  <c r="K42" i="7"/>
  <c r="J42" i="7"/>
  <c r="I42" i="7"/>
  <c r="R41" i="7"/>
  <c r="Q41" i="7"/>
  <c r="P41" i="7"/>
  <c r="O41" i="7"/>
  <c r="N41" i="7"/>
  <c r="M41" i="7"/>
  <c r="L41" i="7"/>
  <c r="K41" i="7"/>
  <c r="J41" i="7"/>
  <c r="I41" i="7"/>
  <c r="R40" i="7"/>
  <c r="Q40" i="7"/>
  <c r="P40" i="7"/>
  <c r="O40" i="7"/>
  <c r="N40" i="7"/>
  <c r="M40" i="7"/>
  <c r="L40" i="7"/>
  <c r="K40" i="7"/>
  <c r="J40" i="7"/>
  <c r="I40" i="7"/>
  <c r="R39" i="7"/>
  <c r="Q39" i="7"/>
  <c r="P39" i="7"/>
  <c r="O39" i="7"/>
  <c r="N39" i="7"/>
  <c r="M39" i="7"/>
  <c r="L39" i="7"/>
  <c r="K39" i="7"/>
  <c r="J39" i="7"/>
  <c r="I39" i="7"/>
  <c r="R38" i="7"/>
  <c r="Q38" i="7"/>
  <c r="P38" i="7"/>
  <c r="O38" i="7"/>
  <c r="N38" i="7"/>
  <c r="M38" i="7"/>
  <c r="L38" i="7"/>
  <c r="K38" i="7"/>
  <c r="J38" i="7"/>
  <c r="I38" i="7"/>
  <c r="R37" i="7"/>
  <c r="Q37" i="7"/>
  <c r="P37" i="7"/>
  <c r="O37" i="7"/>
  <c r="N37" i="7"/>
  <c r="M37" i="7"/>
  <c r="L37" i="7"/>
  <c r="K37" i="7"/>
  <c r="J37" i="7"/>
  <c r="I37" i="7"/>
  <c r="R36" i="7"/>
  <c r="Q36" i="7"/>
  <c r="P36" i="7"/>
  <c r="O36" i="7"/>
  <c r="N36" i="7"/>
  <c r="M36" i="7"/>
  <c r="L36" i="7"/>
  <c r="K36" i="7"/>
  <c r="J36" i="7"/>
  <c r="I36" i="7"/>
  <c r="R35" i="7"/>
  <c r="Q35" i="7"/>
  <c r="P35" i="7"/>
  <c r="O35" i="7"/>
  <c r="N35" i="7"/>
  <c r="M35" i="7"/>
  <c r="L35" i="7"/>
  <c r="K35" i="7"/>
  <c r="J35" i="7"/>
  <c r="I35" i="7"/>
  <c r="N31" i="7"/>
  <c r="M31" i="7"/>
  <c r="L31" i="7"/>
  <c r="K31" i="7"/>
  <c r="J31" i="7"/>
  <c r="I31" i="7"/>
  <c r="H31" i="7"/>
  <c r="G31" i="7"/>
  <c r="F31" i="7"/>
  <c r="E31" i="7"/>
  <c r="N30" i="7"/>
  <c r="M30" i="7"/>
  <c r="L30" i="7"/>
  <c r="K30" i="7"/>
  <c r="J30" i="7"/>
  <c r="I30" i="7"/>
  <c r="H30" i="7"/>
  <c r="G30" i="7"/>
  <c r="F30" i="7"/>
  <c r="E30" i="7"/>
  <c r="N29" i="7"/>
  <c r="M29" i="7"/>
  <c r="L29" i="7"/>
  <c r="K29" i="7"/>
  <c r="J29" i="7"/>
  <c r="I29" i="7"/>
  <c r="H29" i="7"/>
  <c r="G29" i="7"/>
  <c r="F29" i="7"/>
  <c r="E29" i="7"/>
  <c r="N28" i="7"/>
  <c r="M28" i="7"/>
  <c r="L28" i="7"/>
  <c r="K28" i="7"/>
  <c r="J28" i="7"/>
  <c r="I28" i="7"/>
  <c r="H28" i="7"/>
  <c r="G28" i="7"/>
  <c r="F28" i="7"/>
  <c r="E28" i="7"/>
  <c r="N27" i="7"/>
  <c r="M27" i="7"/>
  <c r="L27" i="7"/>
  <c r="K27" i="7"/>
  <c r="J27" i="7"/>
  <c r="I27" i="7"/>
  <c r="H27" i="7"/>
  <c r="G27" i="7"/>
  <c r="F27" i="7"/>
  <c r="E27" i="7"/>
  <c r="N26" i="7"/>
  <c r="M26" i="7"/>
  <c r="L26" i="7"/>
  <c r="K26" i="7"/>
  <c r="J26" i="7"/>
  <c r="I26" i="7"/>
  <c r="H26" i="7"/>
  <c r="G26" i="7"/>
  <c r="F26" i="7"/>
  <c r="E26" i="7"/>
  <c r="N25" i="7"/>
  <c r="M25" i="7"/>
  <c r="L25" i="7"/>
  <c r="K25" i="7"/>
  <c r="J25" i="7"/>
  <c r="I25" i="7"/>
  <c r="H25" i="7"/>
  <c r="G25" i="7"/>
  <c r="F25" i="7"/>
  <c r="E25" i="7"/>
  <c r="N24" i="7"/>
  <c r="M24" i="7"/>
  <c r="L24" i="7"/>
  <c r="K24" i="7"/>
  <c r="J24" i="7"/>
  <c r="I24" i="7"/>
  <c r="H24" i="7"/>
  <c r="G24" i="7"/>
  <c r="F24" i="7"/>
  <c r="E24" i="7"/>
  <c r="N23" i="7"/>
  <c r="M23" i="7"/>
  <c r="L23" i="7"/>
  <c r="K23" i="7"/>
  <c r="J23" i="7"/>
  <c r="I23" i="7"/>
  <c r="H23" i="7"/>
  <c r="G23" i="7"/>
  <c r="F23" i="7"/>
  <c r="E23" i="7"/>
  <c r="N22" i="7"/>
  <c r="M22" i="7"/>
  <c r="L22" i="7"/>
  <c r="K22" i="7"/>
  <c r="J22" i="7"/>
  <c r="I22" i="7"/>
  <c r="H22" i="7"/>
  <c r="G22" i="7"/>
  <c r="F22" i="7"/>
  <c r="E22" i="7"/>
  <c r="N21" i="7"/>
  <c r="M21" i="7"/>
  <c r="L21" i="7"/>
  <c r="K21" i="7"/>
  <c r="J21" i="7"/>
  <c r="I21" i="7"/>
  <c r="H21" i="7"/>
  <c r="G21" i="7"/>
  <c r="F21" i="7"/>
  <c r="E21" i="7"/>
  <c r="N20" i="7"/>
  <c r="M20" i="7"/>
  <c r="L20" i="7"/>
  <c r="K20" i="7"/>
  <c r="J20" i="7"/>
  <c r="I20" i="7"/>
  <c r="H20" i="7"/>
  <c r="G20" i="7"/>
  <c r="F20" i="7"/>
  <c r="E20" i="7"/>
  <c r="N19" i="7"/>
  <c r="M19" i="7"/>
  <c r="L19" i="7"/>
  <c r="K19" i="7"/>
  <c r="J19" i="7"/>
  <c r="I19" i="7"/>
  <c r="H19" i="7"/>
  <c r="G19" i="7"/>
  <c r="F19" i="7"/>
  <c r="E19" i="7"/>
  <c r="B27" i="1" l="1"/>
  <c r="N53" i="7"/>
  <c r="G63" i="7" s="1"/>
  <c r="J63" i="7"/>
  <c r="N50" i="7"/>
  <c r="N52" i="7" s="1"/>
  <c r="N49" i="7"/>
  <c r="H52" i="8"/>
  <c r="G52" i="8"/>
  <c r="G63" i="8"/>
  <c r="G51" i="8"/>
  <c r="N50" i="8"/>
  <c r="N52" i="8" s="1"/>
  <c r="N51" i="8"/>
  <c r="H51" i="8" s="1"/>
  <c r="B14" i="1"/>
  <c r="N49" i="8"/>
  <c r="G55" i="7" l="1"/>
  <c r="H55" i="7" s="1"/>
  <c r="J55" i="7" s="1"/>
  <c r="G51" i="7"/>
  <c r="H51" i="7" s="1"/>
  <c r="I51" i="7" s="1"/>
  <c r="I63" i="7" s="1"/>
  <c r="G53" i="7"/>
  <c r="H53" i="7" s="1"/>
  <c r="J53" i="7" s="1"/>
  <c r="G62" i="7"/>
  <c r="H62" i="7" s="1"/>
  <c r="J62" i="7" s="1"/>
  <c r="G61" i="7"/>
  <c r="H61" i="7" s="1"/>
  <c r="G60" i="7"/>
  <c r="H60" i="7" s="1"/>
  <c r="J60" i="7" s="1"/>
  <c r="G59" i="7"/>
  <c r="H59" i="7" s="1"/>
  <c r="J59" i="7" s="1"/>
  <c r="G58" i="7"/>
  <c r="H58" i="7" s="1"/>
  <c r="J58" i="7" s="1"/>
  <c r="G57" i="7"/>
  <c r="H57" i="7" s="1"/>
  <c r="J57" i="7" s="1"/>
  <c r="G56" i="7"/>
  <c r="H56" i="7" s="1"/>
  <c r="J56" i="7" s="1"/>
  <c r="G54" i="7"/>
  <c r="H54" i="7" s="1"/>
  <c r="G52" i="7"/>
  <c r="N51" i="7"/>
  <c r="C1" i="7"/>
  <c r="H52" i="7" l="1"/>
  <c r="J52" i="7" s="1"/>
  <c r="I54" i="7"/>
  <c r="J51" i="7"/>
  <c r="I55" i="7"/>
  <c r="I59" i="7"/>
  <c r="I61" i="7"/>
  <c r="J54" i="7"/>
  <c r="I62" i="7"/>
  <c r="J61" i="7"/>
  <c r="I53" i="7"/>
  <c r="I58" i="7"/>
  <c r="I57" i="7"/>
  <c r="I56" i="7"/>
  <c r="I60" i="7"/>
  <c r="J2" i="8"/>
  <c r="J1" i="8" s="1"/>
  <c r="E19" i="8"/>
  <c r="F19" i="8"/>
  <c r="F20" i="8"/>
  <c r="F31" i="8"/>
  <c r="D20" i="8"/>
  <c r="D31" i="8"/>
  <c r="D19" i="8"/>
  <c r="D20" i="7"/>
  <c r="D31" i="7"/>
  <c r="D19" i="7"/>
  <c r="F4" i="8"/>
  <c r="F15" i="8"/>
  <c r="F3" i="8"/>
  <c r="E15" i="8"/>
  <c r="E31" i="8" s="1"/>
  <c r="D5" i="8"/>
  <c r="F5" i="8" s="1"/>
  <c r="I52" i="7" l="1"/>
  <c r="F21" i="8"/>
  <c r="G53" i="8"/>
  <c r="H53" i="8" s="1"/>
  <c r="D21" i="8"/>
  <c r="D54" i="8"/>
  <c r="D55" i="8" s="1"/>
  <c r="D56" i="8" s="1"/>
  <c r="D57" i="8" s="1"/>
  <c r="D58" i="8" s="1"/>
  <c r="D59" i="8" s="1"/>
  <c r="D60" i="8" s="1"/>
  <c r="D61" i="8" s="1"/>
  <c r="D62" i="8" s="1"/>
  <c r="A52" i="8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B47" i="8"/>
  <c r="A37" i="8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36" i="8"/>
  <c r="B31" i="8"/>
  <c r="A20" i="8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C19" i="8"/>
  <c r="C31" i="8" s="1"/>
  <c r="I47" i="8" s="1"/>
  <c r="C15" i="8"/>
  <c r="C14" i="8"/>
  <c r="C13" i="8"/>
  <c r="C12" i="8"/>
  <c r="C11" i="8"/>
  <c r="C10" i="8"/>
  <c r="C9" i="8"/>
  <c r="C8" i="8"/>
  <c r="C7" i="8"/>
  <c r="C6" i="8"/>
  <c r="A6" i="8"/>
  <c r="A7" i="8" s="1"/>
  <c r="C5" i="8"/>
  <c r="C4" i="8"/>
  <c r="C3" i="8"/>
  <c r="D7" i="8" l="1"/>
  <c r="A8" i="8"/>
  <c r="C20" i="8"/>
  <c r="C21" i="8"/>
  <c r="C22" i="8"/>
  <c r="C23" i="8"/>
  <c r="C24" i="8"/>
  <c r="C25" i="8"/>
  <c r="C26" i="8"/>
  <c r="C27" i="8"/>
  <c r="C28" i="8"/>
  <c r="C29" i="8"/>
  <c r="C30" i="8"/>
  <c r="D6" i="8"/>
  <c r="D23" i="8" l="1"/>
  <c r="F7" i="8"/>
  <c r="D22" i="8"/>
  <c r="F6" i="8"/>
  <c r="D8" i="8"/>
  <c r="A9" i="8"/>
  <c r="R3" i="2"/>
  <c r="S3" i="2"/>
  <c r="R4" i="2"/>
  <c r="S4" i="2"/>
  <c r="F22" i="8" l="1"/>
  <c r="G54" i="8"/>
  <c r="H54" i="8" s="1"/>
  <c r="F23" i="8"/>
  <c r="G55" i="8"/>
  <c r="H55" i="8" s="1"/>
  <c r="D24" i="8"/>
  <c r="F8" i="8"/>
  <c r="A10" i="8"/>
  <c r="D9" i="8"/>
  <c r="C19" i="7"/>
  <c r="C30" i="7" s="1"/>
  <c r="F24" i="8" l="1"/>
  <c r="G56" i="8"/>
  <c r="H56" i="8" s="1"/>
  <c r="C23" i="7"/>
  <c r="D25" i="8"/>
  <c r="F9" i="8"/>
  <c r="C20" i="7"/>
  <c r="C21" i="7"/>
  <c r="C22" i="7"/>
  <c r="A11" i="8"/>
  <c r="D10" i="8"/>
  <c r="C25" i="7"/>
  <c r="C27" i="7"/>
  <c r="C28" i="7"/>
  <c r="C29" i="7"/>
  <c r="C24" i="7"/>
  <c r="C31" i="7"/>
  <c r="G47" i="7" s="1"/>
  <c r="C26" i="7"/>
  <c r="E55" i="7"/>
  <c r="E56" i="7" s="1"/>
  <c r="E57" i="7" s="1"/>
  <c r="E58" i="7" s="1"/>
  <c r="E59" i="7" s="1"/>
  <c r="E60" i="7" s="1"/>
  <c r="E61" i="7" s="1"/>
  <c r="E62" i="7" s="1"/>
  <c r="E54" i="7"/>
  <c r="A52" i="7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B47" i="7"/>
  <c r="A37" i="7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36" i="7"/>
  <c r="B31" i="7"/>
  <c r="A20" i="7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C15" i="7"/>
  <c r="C14" i="7"/>
  <c r="C13" i="7"/>
  <c r="C12" i="7"/>
  <c r="C11" i="7"/>
  <c r="C10" i="7"/>
  <c r="C9" i="7"/>
  <c r="C8" i="7"/>
  <c r="C7" i="7"/>
  <c r="C6" i="7"/>
  <c r="A6" i="7"/>
  <c r="A7" i="7" s="1"/>
  <c r="D5" i="7"/>
  <c r="C5" i="7"/>
  <c r="C4" i="7"/>
  <c r="B4" i="7" s="1"/>
  <c r="C3" i="7"/>
  <c r="F25" i="8" l="1"/>
  <c r="G57" i="8"/>
  <c r="H57" i="8" s="1"/>
  <c r="D21" i="7"/>
  <c r="B5" i="7"/>
  <c r="D26" i="8"/>
  <c r="F10" i="8"/>
  <c r="D11" i="8"/>
  <c r="A12" i="8"/>
  <c r="A8" i="7"/>
  <c r="D7" i="7"/>
  <c r="D6" i="7"/>
  <c r="F26" i="8" l="1"/>
  <c r="G58" i="8"/>
  <c r="H58" i="8" s="1"/>
  <c r="D23" i="7"/>
  <c r="B7" i="7"/>
  <c r="D22" i="7"/>
  <c r="B6" i="7"/>
  <c r="D27" i="8"/>
  <c r="F11" i="8"/>
  <c r="D12" i="8"/>
  <c r="A13" i="8"/>
  <c r="A9" i="7"/>
  <c r="D8" i="7"/>
  <c r="F27" i="8" l="1"/>
  <c r="G59" i="8"/>
  <c r="H59" i="8" s="1"/>
  <c r="D24" i="7"/>
  <c r="B8" i="7"/>
  <c r="D28" i="8"/>
  <c r="F12" i="8"/>
  <c r="A14" i="8"/>
  <c r="D14" i="8" s="1"/>
  <c r="D13" i="8"/>
  <c r="A10" i="7"/>
  <c r="D9" i="7"/>
  <c r="F28" i="8" l="1"/>
  <c r="G60" i="8"/>
  <c r="H60" i="8" s="1"/>
  <c r="D25" i="7"/>
  <c r="B9" i="7"/>
  <c r="F14" i="8"/>
  <c r="D30" i="8"/>
  <c r="D29" i="8"/>
  <c r="F13" i="8"/>
  <c r="A11" i="7"/>
  <c r="D10" i="7"/>
  <c r="F29" i="8" l="1"/>
  <c r="G61" i="8"/>
  <c r="H61" i="8" s="1"/>
  <c r="F30" i="8"/>
  <c r="G62" i="8"/>
  <c r="H62" i="8" s="1"/>
  <c r="D26" i="7"/>
  <c r="B10" i="7"/>
  <c r="A12" i="7"/>
  <c r="D11" i="7"/>
  <c r="D27" i="7" l="1"/>
  <c r="B11" i="7"/>
  <c r="A13" i="7"/>
  <c r="D12" i="7"/>
  <c r="D28" i="7" l="1"/>
  <c r="B12" i="7"/>
  <c r="A14" i="7"/>
  <c r="D14" i="7" s="1"/>
  <c r="D13" i="7"/>
  <c r="D29" i="7" l="1"/>
  <c r="B13" i="7"/>
  <c r="D30" i="7"/>
  <c r="B14" i="7"/>
  <c r="L4" i="1"/>
  <c r="K5" i="2" l="1"/>
  <c r="K6" i="2" s="1"/>
  <c r="J4" i="2"/>
  <c r="J5" i="2" s="1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C3" i="2"/>
  <c r="B3" i="2"/>
  <c r="B20" i="1" l="1"/>
  <c r="B8" i="1"/>
  <c r="C4" i="1"/>
  <c r="A4" i="1"/>
  <c r="A3" i="1"/>
  <c r="H37" i="8" l="1"/>
  <c r="G42" i="8"/>
  <c r="H38" i="8"/>
  <c r="G43" i="8"/>
  <c r="H36" i="8"/>
  <c r="G40" i="8"/>
  <c r="H39" i="8"/>
  <c r="G44" i="8"/>
  <c r="H41" i="8"/>
  <c r="H42" i="8"/>
  <c r="H40" i="8"/>
  <c r="G45" i="8"/>
  <c r="G46" i="8"/>
  <c r="G36" i="8"/>
  <c r="H43" i="8"/>
  <c r="G38" i="8"/>
  <c r="G41" i="8"/>
  <c r="H44" i="8"/>
  <c r="H46" i="8"/>
  <c r="G37" i="8"/>
  <c r="H45" i="8"/>
  <c r="G39" i="8"/>
  <c r="B5" i="8"/>
  <c r="B4" i="8"/>
  <c r="B6" i="8"/>
  <c r="B7" i="8"/>
  <c r="B8" i="8"/>
  <c r="B9" i="8"/>
  <c r="B10" i="8"/>
  <c r="B11" i="8"/>
  <c r="B12" i="8"/>
  <c r="B13" i="8"/>
  <c r="B14" i="8"/>
  <c r="B20" i="7"/>
  <c r="B36" i="7" s="1"/>
  <c r="C36" i="7" s="1"/>
  <c r="B21" i="7"/>
  <c r="B37" i="7" s="1"/>
  <c r="C37" i="7" s="1"/>
  <c r="B22" i="7"/>
  <c r="B38" i="7" s="1"/>
  <c r="C38" i="7" s="1"/>
  <c r="B23" i="7"/>
  <c r="B39" i="7" s="1"/>
  <c r="C39" i="7" s="1"/>
  <c r="B24" i="7"/>
  <c r="B40" i="7" s="1"/>
  <c r="C40" i="7" s="1"/>
  <c r="B25" i="7"/>
  <c r="B41" i="7" s="1"/>
  <c r="C41" i="7" s="1"/>
  <c r="B26" i="7"/>
  <c r="B42" i="7" s="1"/>
  <c r="C42" i="7" s="1"/>
  <c r="B27" i="7"/>
  <c r="B43" i="7" s="1"/>
  <c r="C43" i="7" s="1"/>
  <c r="B28" i="7"/>
  <c r="B44" i="7" s="1"/>
  <c r="C44" i="7" s="1"/>
  <c r="B30" i="7"/>
  <c r="B46" i="7" s="1"/>
  <c r="C46" i="7" s="1"/>
  <c r="B29" i="7"/>
  <c r="B45" i="7" s="1"/>
  <c r="C45" i="7" s="1"/>
  <c r="B21" i="1"/>
  <c r="J3" i="8" l="1"/>
  <c r="E10" i="8"/>
  <c r="E26" i="8" s="1"/>
  <c r="D42" i="8" s="1"/>
  <c r="B26" i="8"/>
  <c r="B42" i="8" s="1"/>
  <c r="C42" i="8" s="1"/>
  <c r="B28" i="8"/>
  <c r="B44" i="8" s="1"/>
  <c r="C44" i="8" s="1"/>
  <c r="E12" i="8"/>
  <c r="E28" i="8" s="1"/>
  <c r="D44" i="8" s="1"/>
  <c r="E13" i="8"/>
  <c r="E29" i="8" s="1"/>
  <c r="D45" i="8" s="1"/>
  <c r="B29" i="8"/>
  <c r="B45" i="8" s="1"/>
  <c r="C45" i="8" s="1"/>
  <c r="E7" i="8"/>
  <c r="E23" i="8" s="1"/>
  <c r="D39" i="8" s="1"/>
  <c r="B23" i="8"/>
  <c r="B39" i="8" s="1"/>
  <c r="C39" i="8" s="1"/>
  <c r="D35" i="7"/>
  <c r="E35" i="7" s="1"/>
  <c r="G35" i="7" s="1"/>
  <c r="D35" i="8"/>
  <c r="D47" i="8"/>
  <c r="E9" i="8"/>
  <c r="E25" i="8" s="1"/>
  <c r="B25" i="8"/>
  <c r="B41" i="8" s="1"/>
  <c r="C41" i="8" s="1"/>
  <c r="B20" i="8"/>
  <c r="B36" i="8" s="1"/>
  <c r="C36" i="8" s="1"/>
  <c r="E4" i="8"/>
  <c r="E20" i="8" s="1"/>
  <c r="J36" i="8" s="1"/>
  <c r="B27" i="8"/>
  <c r="B43" i="8" s="1"/>
  <c r="C43" i="8" s="1"/>
  <c r="E11" i="8"/>
  <c r="E27" i="8" s="1"/>
  <c r="J43" i="8" s="1"/>
  <c r="B21" i="8"/>
  <c r="B37" i="8" s="1"/>
  <c r="C37" i="8" s="1"/>
  <c r="E5" i="8"/>
  <c r="E21" i="8" s="1"/>
  <c r="J37" i="8" s="1"/>
  <c r="E8" i="8"/>
  <c r="E24" i="8" s="1"/>
  <c r="B24" i="8"/>
  <c r="B40" i="8" s="1"/>
  <c r="C40" i="8" s="1"/>
  <c r="E6" i="8"/>
  <c r="E22" i="8" s="1"/>
  <c r="B22" i="8"/>
  <c r="B38" i="8" s="1"/>
  <c r="C38" i="8" s="1"/>
  <c r="E14" i="8"/>
  <c r="E30" i="8" s="1"/>
  <c r="B30" i="8"/>
  <c r="B46" i="8" s="1"/>
  <c r="C46" i="8" s="1"/>
  <c r="D47" i="7"/>
  <c r="H37" i="7"/>
  <c r="H35" i="7"/>
  <c r="H47" i="7"/>
  <c r="H36" i="7"/>
  <c r="D36" i="7"/>
  <c r="D37" i="7"/>
  <c r="H38" i="7"/>
  <c r="H39" i="7"/>
  <c r="H40" i="7"/>
  <c r="D38" i="7"/>
  <c r="D39" i="7"/>
  <c r="H41" i="7"/>
  <c r="D40" i="7"/>
  <c r="H42" i="7"/>
  <c r="D41" i="7"/>
  <c r="H43" i="7"/>
  <c r="D42" i="7"/>
  <c r="H44" i="7"/>
  <c r="D43" i="7"/>
  <c r="H45" i="7"/>
  <c r="H46" i="7"/>
  <c r="D44" i="7"/>
  <c r="D45" i="7"/>
  <c r="D46" i="7"/>
  <c r="B22" i="1"/>
  <c r="E44" i="7"/>
  <c r="G44" i="7" s="1"/>
  <c r="E39" i="7"/>
  <c r="G39" i="7" s="1"/>
  <c r="E45" i="7"/>
  <c r="G45" i="7" s="1"/>
  <c r="E42" i="7"/>
  <c r="G42" i="7" s="1"/>
  <c r="E38" i="7"/>
  <c r="G38" i="7" s="1"/>
  <c r="E46" i="7"/>
  <c r="G46" i="7" s="1"/>
  <c r="E41" i="7"/>
  <c r="G41" i="7" s="1"/>
  <c r="E36" i="7"/>
  <c r="G36" i="7" s="1"/>
  <c r="E43" i="7"/>
  <c r="G43" i="7" s="1"/>
  <c r="E40" i="7"/>
  <c r="G40" i="7" s="1"/>
  <c r="E37" i="7"/>
  <c r="G37" i="7" s="1"/>
  <c r="J38" i="8" l="1"/>
  <c r="J40" i="8"/>
  <c r="B15" i="1"/>
  <c r="E35" i="8" s="1"/>
  <c r="I35" i="8" s="1"/>
  <c r="B25" i="1"/>
  <c r="B28" i="1" s="1"/>
  <c r="J41" i="8"/>
  <c r="J46" i="8"/>
  <c r="D43" i="8"/>
  <c r="D41" i="8"/>
  <c r="D36" i="8"/>
  <c r="F38" i="8"/>
  <c r="F40" i="8"/>
  <c r="D40" i="8"/>
  <c r="K35" i="8"/>
  <c r="J35" i="8"/>
  <c r="K36" i="8"/>
  <c r="E36" i="8" s="1"/>
  <c r="I36" i="8" s="1"/>
  <c r="J47" i="8"/>
  <c r="K37" i="8"/>
  <c r="E37" i="8" s="1"/>
  <c r="I37" i="8" s="1"/>
  <c r="K47" i="8"/>
  <c r="K38" i="8"/>
  <c r="E38" i="8" s="1"/>
  <c r="I38" i="8" s="1"/>
  <c r="K39" i="8"/>
  <c r="K40" i="8"/>
  <c r="E40" i="8" s="1"/>
  <c r="I40" i="8" s="1"/>
  <c r="K41" i="8"/>
  <c r="E41" i="8" s="1"/>
  <c r="I41" i="8" s="1"/>
  <c r="K42" i="8"/>
  <c r="K43" i="8"/>
  <c r="E43" i="8" s="1"/>
  <c r="I43" i="8" s="1"/>
  <c r="K44" i="8"/>
  <c r="K46" i="8"/>
  <c r="E46" i="8" s="1"/>
  <c r="I46" i="8" s="1"/>
  <c r="K45" i="8"/>
  <c r="D38" i="8"/>
  <c r="F37" i="8"/>
  <c r="D37" i="8"/>
  <c r="F43" i="8"/>
  <c r="F39" i="8"/>
  <c r="J39" i="8"/>
  <c r="F36" i="8"/>
  <c r="F45" i="8"/>
  <c r="F41" i="8"/>
  <c r="J45" i="8"/>
  <c r="J44" i="8"/>
  <c r="F44" i="8"/>
  <c r="D46" i="8"/>
  <c r="F42" i="8"/>
  <c r="F46" i="8"/>
  <c r="J42" i="8"/>
  <c r="F39" i="7"/>
  <c r="F41" i="7"/>
  <c r="F44" i="7"/>
  <c r="F46" i="7"/>
  <c r="F38" i="7"/>
  <c r="F42" i="7"/>
  <c r="F40" i="7"/>
  <c r="F43" i="7"/>
  <c r="F45" i="7"/>
  <c r="F37" i="7"/>
  <c r="F36" i="7"/>
  <c r="E45" i="8" l="1"/>
  <c r="I45" i="8" s="1"/>
  <c r="C61" i="8" s="1"/>
  <c r="J61" i="8" s="1"/>
  <c r="E44" i="8"/>
  <c r="I44" i="8" s="1"/>
  <c r="B60" i="8" s="1"/>
  <c r="C59" i="8"/>
  <c r="J59" i="8" s="1"/>
  <c r="C57" i="8"/>
  <c r="J57" i="8" s="1"/>
  <c r="E39" i="8"/>
  <c r="I39" i="8" s="1"/>
  <c r="B55" i="8" s="1"/>
  <c r="E42" i="8"/>
  <c r="I42" i="8" s="1"/>
  <c r="B58" i="8" s="1"/>
  <c r="B51" i="8"/>
  <c r="I51" i="8" s="1"/>
  <c r="C60" i="8"/>
  <c r="J60" i="8" s="1"/>
  <c r="C62" i="8"/>
  <c r="J62" i="8" s="1"/>
  <c r="C53" i="8"/>
  <c r="J53" i="8" s="1"/>
  <c r="C56" i="8"/>
  <c r="J56" i="8" s="1"/>
  <c r="C63" i="8"/>
  <c r="J63" i="8" s="1"/>
  <c r="C54" i="8"/>
  <c r="J54" i="8" s="1"/>
  <c r="C51" i="8"/>
  <c r="J51" i="8" s="1"/>
  <c r="C52" i="8"/>
  <c r="J52" i="8" s="1"/>
  <c r="B52" i="8"/>
  <c r="B62" i="8"/>
  <c r="B63" i="8"/>
  <c r="B57" i="8"/>
  <c r="B56" i="8"/>
  <c r="B59" i="8"/>
  <c r="B53" i="8"/>
  <c r="B54" i="8"/>
  <c r="B61" i="8" l="1"/>
  <c r="C58" i="8"/>
  <c r="J58" i="8" s="1"/>
  <c r="I63" i="8"/>
  <c r="I61" i="8"/>
  <c r="I60" i="8"/>
  <c r="I59" i="8"/>
  <c r="I53" i="8"/>
  <c r="I62" i="8"/>
  <c r="I58" i="8"/>
  <c r="I57" i="8"/>
  <c r="I56" i="8"/>
  <c r="I55" i="8"/>
  <c r="I54" i="8"/>
  <c r="I52" i="8"/>
  <c r="C55" i="8"/>
  <c r="J55" i="8" s="1"/>
</calcChain>
</file>

<file path=xl/sharedStrings.xml><?xml version="1.0" encoding="utf-8"?>
<sst xmlns="http://schemas.openxmlformats.org/spreadsheetml/2006/main" count="206" uniqueCount="105">
  <si>
    <t>Geometric Properties</t>
  </si>
  <si>
    <t>Cross-Section</t>
  </si>
  <si>
    <t>in</t>
  </si>
  <si>
    <t>No. Bars</t>
  </si>
  <si>
    <t>Bar No.</t>
  </si>
  <si>
    <t>Clear Cover</t>
  </si>
  <si>
    <t>Concrete Properties</t>
  </si>
  <si>
    <t>ksi</t>
  </si>
  <si>
    <t>β'</t>
  </si>
  <si>
    <t>Steel Properties</t>
  </si>
  <si>
    <t>NOTE: Rebar diameters N.T.S.</t>
  </si>
  <si>
    <r>
      <t>A</t>
    </r>
    <r>
      <rPr>
        <vertAlign val="subscript"/>
        <sz val="11"/>
        <color theme="0"/>
        <rFont val="Calibri"/>
        <family val="2"/>
        <scheme val="minor"/>
      </rPr>
      <t>g</t>
    </r>
  </si>
  <si>
    <r>
      <t>f'</t>
    </r>
    <r>
      <rPr>
        <vertAlign val="subscript"/>
        <sz val="11"/>
        <color theme="0"/>
        <rFont val="Calibri"/>
        <family val="2"/>
        <scheme val="minor"/>
      </rPr>
      <t>c</t>
    </r>
  </si>
  <si>
    <r>
      <t>ε</t>
    </r>
    <r>
      <rPr>
        <vertAlign val="subscript"/>
        <sz val="11"/>
        <color theme="0"/>
        <rFont val="Calibri"/>
        <family val="2"/>
        <scheme val="minor"/>
      </rPr>
      <t>cu</t>
    </r>
  </si>
  <si>
    <r>
      <t>A</t>
    </r>
    <r>
      <rPr>
        <vertAlign val="subscript"/>
        <sz val="11"/>
        <color theme="0"/>
        <rFont val="Calibri"/>
        <family val="2"/>
        <scheme val="minor"/>
      </rPr>
      <t>c</t>
    </r>
  </si>
  <si>
    <r>
      <t>f</t>
    </r>
    <r>
      <rPr>
        <vertAlign val="subscript"/>
        <sz val="11"/>
        <color theme="0"/>
        <rFont val="Calibri"/>
        <family val="2"/>
        <scheme val="minor"/>
      </rPr>
      <t>y</t>
    </r>
  </si>
  <si>
    <r>
      <t>E</t>
    </r>
    <r>
      <rPr>
        <vertAlign val="subscript"/>
        <sz val="11"/>
        <color theme="0"/>
        <rFont val="Calibri"/>
        <family val="2"/>
        <scheme val="minor"/>
      </rPr>
      <t>s</t>
    </r>
  </si>
  <si>
    <r>
      <t>d</t>
    </r>
    <r>
      <rPr>
        <vertAlign val="subscript"/>
        <sz val="11"/>
        <color theme="0"/>
        <rFont val="Calibri"/>
        <family val="2"/>
        <scheme val="minor"/>
      </rPr>
      <t>b</t>
    </r>
  </si>
  <si>
    <r>
      <t>A</t>
    </r>
    <r>
      <rPr>
        <vertAlign val="subscript"/>
        <sz val="11"/>
        <color theme="0"/>
        <rFont val="Calibri"/>
        <family val="2"/>
        <scheme val="minor"/>
      </rPr>
      <t>b</t>
    </r>
  </si>
  <si>
    <r>
      <t>Total A</t>
    </r>
    <r>
      <rPr>
        <vertAlign val="subscript"/>
        <sz val="11"/>
        <color theme="0"/>
        <rFont val="Calibri"/>
        <family val="2"/>
        <scheme val="minor"/>
      </rPr>
      <t>s</t>
    </r>
  </si>
  <si>
    <t>Circle Coordinates</t>
  </si>
  <si>
    <t>Rebar Coordinates</t>
  </si>
  <si>
    <t>Rectangle Coordinates</t>
  </si>
  <si>
    <t>X</t>
  </si>
  <si>
    <t>Scaling Coordinates</t>
  </si>
  <si>
    <t>Node No.</t>
  </si>
  <si>
    <t>Y</t>
  </si>
  <si>
    <t>Cross-Section View</t>
  </si>
  <si>
    <t>Point No.</t>
  </si>
  <si>
    <t>Description</t>
  </si>
  <si>
    <t>P (kip)</t>
  </si>
  <si>
    <t>φ (1/in)</t>
  </si>
  <si>
    <t>Compression</t>
  </si>
  <si>
    <t>εsmax=0εsy</t>
  </si>
  <si>
    <t>εsmax=0.25εsy</t>
  </si>
  <si>
    <t>εsmax=0.5εsy</t>
  </si>
  <si>
    <t>εsmax=0.75εsy</t>
  </si>
  <si>
    <t>Balanced</t>
  </si>
  <si>
    <t>εsmax=2εsy</t>
  </si>
  <si>
    <t>εsmax=3εsy</t>
  </si>
  <si>
    <t>εsmax=4εsy</t>
  </si>
  <si>
    <t>εsmax=6εsy</t>
  </si>
  <si>
    <t>εsmax=8εsy</t>
  </si>
  <si>
    <t>εsmax=10εsy</t>
  </si>
  <si>
    <t>Tension</t>
  </si>
  <si>
    <t>N/A</t>
  </si>
  <si>
    <t>Strains</t>
  </si>
  <si>
    <t>εsbars</t>
  </si>
  <si>
    <t>εsmax description</t>
  </si>
  <si>
    <t>c</t>
  </si>
  <si>
    <t>εc</t>
  </si>
  <si>
    <t>εsmax</t>
  </si>
  <si>
    <t>compression</t>
  </si>
  <si>
    <t>0εsy</t>
  </si>
  <si>
    <t>tension</t>
  </si>
  <si>
    <t>Stresses (ksi)</t>
  </si>
  <si>
    <t>fc</t>
  </si>
  <si>
    <t>fsmax</t>
  </si>
  <si>
    <t>Forces (kip)</t>
  </si>
  <si>
    <r>
      <t>a=</t>
    </r>
    <r>
      <rPr>
        <sz val="11"/>
        <color theme="1"/>
        <rFont val="Calibri"/>
        <family val="2"/>
      </rPr>
      <t>β'c</t>
    </r>
  </si>
  <si>
    <t>Ascomp</t>
  </si>
  <si>
    <t>Accomp</t>
  </si>
  <si>
    <t>Results</t>
  </si>
  <si>
    <t>C arm</t>
  </si>
  <si>
    <t>C</t>
  </si>
  <si>
    <t>Tbar max</t>
  </si>
  <si>
    <t>M (kip*ft)</t>
  </si>
  <si>
    <t>top</t>
  </si>
  <si>
    <t>bot</t>
  </si>
  <si>
    <t>Bars on Bot</t>
  </si>
  <si>
    <t>Bars on Top</t>
  </si>
  <si>
    <t>A bar</t>
  </si>
  <si>
    <t>S_top arm</t>
  </si>
  <si>
    <t>S_bot arm</t>
  </si>
  <si>
    <t>Nominal</t>
  </si>
  <si>
    <t>Factored</t>
  </si>
  <si>
    <t xml:space="preserve">  Approx. Pure Bending Capacity (kip*ft):</t>
  </si>
  <si>
    <t>Confinement</t>
  </si>
  <si>
    <t>Circular</t>
  </si>
  <si>
    <t>d=</t>
  </si>
  <si>
    <r>
      <t>in</t>
    </r>
    <r>
      <rPr>
        <i/>
        <vertAlign val="superscript"/>
        <sz val="11"/>
        <color theme="0"/>
        <rFont val="Calibri"/>
        <family val="2"/>
        <scheme val="minor"/>
      </rPr>
      <t>2</t>
    </r>
  </si>
  <si>
    <t>Factored Results</t>
  </si>
  <si>
    <t>Ecc. Factor</t>
  </si>
  <si>
    <r>
      <t xml:space="preserve">Comp Ctrl Strain </t>
    </r>
    <r>
      <rPr>
        <sz val="11"/>
        <color theme="1"/>
        <rFont val="Calibri"/>
        <family val="2"/>
      </rPr>
      <t>εcl</t>
    </r>
  </si>
  <si>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</si>
  <si>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rPr>
        <sz val="11"/>
        <color theme="1"/>
        <rFont val="Calibri"/>
        <family val="2"/>
      </rPr>
      <t>φMn</t>
    </r>
    <r>
      <rPr>
        <sz val="11"/>
        <color theme="1"/>
        <rFont val="Calibri"/>
        <family val="2"/>
        <scheme val="minor"/>
      </rPr>
      <t xml:space="preserve"> (kip*ft)</t>
    </r>
  </si>
  <si>
    <t>φ</t>
  </si>
  <si>
    <r>
      <t xml:space="preserve">Tens. Strain </t>
    </r>
    <r>
      <rPr>
        <sz val="11"/>
        <color theme="1"/>
        <rFont val="Calibri"/>
        <family val="2"/>
      </rPr>
      <t>εt</t>
    </r>
  </si>
  <si>
    <r>
      <t xml:space="preserve">Tens Ctrl Strain </t>
    </r>
    <r>
      <rPr>
        <sz val="11"/>
        <color theme="1"/>
        <rFont val="Calibri"/>
        <family val="2"/>
      </rPr>
      <t>εtl</t>
    </r>
  </si>
  <si>
    <t>fy</t>
  </si>
  <si>
    <t>εs desc</t>
  </si>
  <si>
    <t>Bar No max tens</t>
  </si>
  <si>
    <t>Spirals</t>
  </si>
  <si>
    <t>AASHTO 5.6.4.2 Checks</t>
  </si>
  <si>
    <r>
      <t xml:space="preserve">Max </t>
    </r>
    <r>
      <rPr>
        <sz val="11"/>
        <color theme="0"/>
        <rFont val="Calibri"/>
        <family val="2"/>
      </rPr>
      <t>ρ</t>
    </r>
  </si>
  <si>
    <r>
      <rPr>
        <sz val="11"/>
        <color theme="0"/>
        <rFont val="Calibri"/>
        <family val="2"/>
      </rPr>
      <t>ρ = A</t>
    </r>
    <r>
      <rPr>
        <vertAlign val="subscript"/>
        <sz val="11"/>
        <color theme="0"/>
        <rFont val="Calibri"/>
        <family val="2"/>
      </rPr>
      <t>s</t>
    </r>
    <r>
      <rPr>
        <sz val="11"/>
        <color theme="0"/>
        <rFont val="Calibri"/>
        <family val="2"/>
      </rPr>
      <t>/A</t>
    </r>
    <r>
      <rPr>
        <vertAlign val="subscript"/>
        <sz val="11"/>
        <color theme="0"/>
        <rFont val="Calibri"/>
        <family val="2"/>
      </rPr>
      <t>g</t>
    </r>
  </si>
  <si>
    <t>Check</t>
  </si>
  <si>
    <r>
      <t xml:space="preserve">Min </t>
    </r>
    <r>
      <rPr>
        <sz val="11"/>
        <color theme="0"/>
        <rFont val="Calibri"/>
        <family val="2"/>
      </rPr>
      <t>ρ</t>
    </r>
  </si>
  <si>
    <t>NOTE: Clear Cover measured to edge of longitudinal bar.</t>
  </si>
  <si>
    <t>SpColumn</t>
  </si>
  <si>
    <t>P</t>
  </si>
  <si>
    <t>M</t>
  </si>
  <si>
    <t>This Excel</t>
  </si>
  <si>
    <t>Circular 36" diameter, 10 #9's, 3" clr, 4ksi conc, 60ksi steel</t>
  </si>
  <si>
    <t>Rectangular 16"H, 12"W, 8 #5's, 2.6875 clr, 4ksi conc, 60ksi steel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</si>
</sst>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"/>
    <numFmt numFmtId="165" formatCode="0.00&quot;εsy&quot;"/>
    <numFmt numFmtId="166" formatCode="#&quot;εsy&quot;"/>
    <numFmt numFmtId="167" formatCode="0.0"/>
    <numFmt numFmtId="168" formatCode="0.00000"/>
    <numFmt numFmtId="169" formatCode="#,##0.0"/>
    <numFmt numFmtId="170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i/>
      <sz val="11"/>
      <color rgb="FFEE6C4D"/>
      <name val="Calibri"/>
      <family val="2"/>
      <scheme val="minor"/>
    </font>
    <font>
      <sz val="11"/>
      <color rgb="FF293241"/>
      <name val="Calibri"/>
      <family val="2"/>
      <scheme val="minor"/>
    </font>
    <font>
      <b/>
      <sz val="11"/>
      <color rgb="FF293241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i/>
      <vertAlign val="superscript"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b/>
      <sz val="9"/>
      <color rgb="FF29324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0FBFC"/>
        <bgColor indexed="64"/>
      </patternFill>
    </fill>
    <fill>
      <patternFill patternType="solid">
        <fgColor rgb="FF293241"/>
        <bgColor indexed="64"/>
      </patternFill>
    </fill>
    <fill>
      <patternFill patternType="solid">
        <fgColor rgb="FF3D5A8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E6C4D"/>
        <bgColor indexed="64"/>
      </patternFill>
    </fill>
  </fills>
  <borders count="8">
    <border>
      <left/>
      <right/>
      <top/>
      <bottom/>
      <diagonal/>
    </border>
    <border>
      <left style="thin">
        <color rgb="FFE0FBFC"/>
      </left>
      <right style="thin">
        <color rgb="FFE0FBFC"/>
      </right>
      <top style="thin">
        <color rgb="FFE0FBFC"/>
      </top>
      <bottom style="thin">
        <color rgb="FFE0FBFC"/>
      </bottom>
      <diagonal/>
    </border>
    <border>
      <left style="thin">
        <color rgb="FFEE6C4D"/>
      </left>
      <right style="thin">
        <color rgb="FFEE6C4D"/>
      </right>
      <top style="thin">
        <color rgb="FFEE6C4D"/>
      </top>
      <bottom style="thin">
        <color rgb="FFEE6C4D"/>
      </bottom>
      <diagonal/>
    </border>
    <border>
      <left style="thin">
        <color rgb="FFEE6C4D"/>
      </left>
      <right style="thin">
        <color rgb="FFEE6C4D"/>
      </right>
      <top/>
      <bottom style="thin">
        <color rgb="FFEE6C4D"/>
      </bottom>
      <diagonal/>
    </border>
    <border>
      <left style="thin">
        <color rgb="FFE0FBFC"/>
      </left>
      <right/>
      <top style="thin">
        <color rgb="FFE0FBFC"/>
      </top>
      <bottom style="thin">
        <color rgb="FFE0FBFC"/>
      </bottom>
      <diagonal/>
    </border>
    <border>
      <left/>
      <right/>
      <top style="thin">
        <color rgb="FFE0FBFC"/>
      </top>
      <bottom style="thin">
        <color rgb="FFE0FBFC"/>
      </bottom>
      <diagonal/>
    </border>
    <border>
      <left/>
      <right style="thin">
        <color rgb="FFE0FBFC"/>
      </right>
      <top style="thin">
        <color rgb="FFE0FBFC"/>
      </top>
      <bottom style="thin">
        <color rgb="FFE0FBFC"/>
      </bottom>
      <diagonal/>
    </border>
    <border>
      <left/>
      <right/>
      <top/>
      <bottom style="thin">
        <color rgb="FFE0FBFC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3" fillId="3" borderId="0" xfId="0" applyFont="1" applyFill="1"/>
    <xf numFmtId="49" fontId="3" fillId="3" borderId="0" xfId="0" applyNumberFormat="1" applyFont="1" applyFill="1"/>
    <xf numFmtId="0" fontId="3" fillId="3" borderId="0" xfId="0" applyFont="1" applyFill="1" applyAlignment="1">
      <alignment horizontal="center"/>
    </xf>
    <xf numFmtId="0" fontId="4" fillId="3" borderId="0" xfId="0" applyFont="1" applyFill="1"/>
    <xf numFmtId="0" fontId="3" fillId="3" borderId="0" xfId="0" applyFont="1" applyFill="1" applyAlignment="1">
      <alignment horizontal="right" indent="1"/>
    </xf>
    <xf numFmtId="0" fontId="6" fillId="3" borderId="0" xfId="0" applyFont="1" applyFill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Fill="1"/>
    <xf numFmtId="0" fontId="1" fillId="3" borderId="0" xfId="0" applyFont="1" applyFill="1" applyAlignment="1">
      <alignment horizontal="right"/>
    </xf>
    <xf numFmtId="3" fontId="8" fillId="2" borderId="2" xfId="0" applyNumberFormat="1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0" fontId="12" fillId="3" borderId="4" xfId="0" applyFont="1" applyFill="1" applyBorder="1" applyAlignment="1">
      <alignment horizontal="center"/>
    </xf>
    <xf numFmtId="0" fontId="12" fillId="3" borderId="5" xfId="0" applyFont="1" applyFill="1" applyBorder="1" applyAlignment="1">
      <alignment horizontal="center"/>
    </xf>
    <xf numFmtId="3" fontId="12" fillId="4" borderId="5" xfId="0" applyNumberFormat="1" applyFont="1" applyFill="1" applyBorder="1" applyAlignment="1">
      <alignment horizontal="center"/>
    </xf>
    <xf numFmtId="3" fontId="12" fillId="3" borderId="5" xfId="0" applyNumberFormat="1" applyFont="1" applyFill="1" applyBorder="1" applyAlignment="1">
      <alignment horizontal="center"/>
    </xf>
    <xf numFmtId="0" fontId="13" fillId="3" borderId="4" xfId="0" applyFont="1" applyFill="1" applyBorder="1" applyAlignment="1">
      <alignment horizontal="center"/>
    </xf>
    <xf numFmtId="0" fontId="13" fillId="3" borderId="5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7" fillId="3" borderId="0" xfId="0" applyFont="1" applyFill="1"/>
    <xf numFmtId="0" fontId="0" fillId="0" borderId="0" xfId="0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0" fillId="0" borderId="0" xfId="0" applyNumberFormat="1" applyFill="1"/>
    <xf numFmtId="0" fontId="14" fillId="0" borderId="0" xfId="0" applyFont="1"/>
    <xf numFmtId="0" fontId="3" fillId="3" borderId="0" xfId="0" applyFont="1" applyFill="1" applyAlignment="1"/>
    <xf numFmtId="0" fontId="15" fillId="0" borderId="0" xfId="0" applyFont="1"/>
    <xf numFmtId="2" fontId="0" fillId="0" borderId="0" xfId="0" applyNumberFormat="1"/>
    <xf numFmtId="3" fontId="12" fillId="4" borderId="6" xfId="0" applyNumberFormat="1" applyFont="1" applyFill="1" applyBorder="1" applyAlignment="1">
      <alignment horizontal="center"/>
    </xf>
    <xf numFmtId="3" fontId="12" fillId="3" borderId="6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0" fontId="4" fillId="3" borderId="0" xfId="0" applyFont="1" applyFill="1" applyAlignment="1">
      <alignment vertical="center"/>
    </xf>
    <xf numFmtId="0" fontId="8" fillId="2" borderId="3" xfId="0" applyFont="1" applyFill="1" applyBorder="1" applyAlignment="1">
      <alignment horizontal="center" vertical="center"/>
    </xf>
    <xf numFmtId="2" fontId="8" fillId="2" borderId="2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right" vertical="center" indent="1"/>
    </xf>
    <xf numFmtId="167" fontId="0" fillId="0" borderId="0" xfId="0" applyNumberFormat="1"/>
    <xf numFmtId="1" fontId="0" fillId="0" borderId="0" xfId="0" applyNumberFormat="1"/>
    <xf numFmtId="168" fontId="0" fillId="0" borderId="0" xfId="0" applyNumberFormat="1"/>
    <xf numFmtId="2" fontId="0" fillId="0" borderId="0" xfId="0" applyNumberFormat="1" applyAlignment="1">
      <alignment horizontal="right"/>
    </xf>
    <xf numFmtId="167" fontId="0" fillId="0" borderId="0" xfId="0" applyNumberFormat="1" applyAlignment="1">
      <alignment horizontal="right"/>
    </xf>
    <xf numFmtId="3" fontId="0" fillId="0" borderId="0" xfId="0" applyNumberFormat="1"/>
    <xf numFmtId="169" fontId="0" fillId="0" borderId="0" xfId="0" applyNumberFormat="1"/>
    <xf numFmtId="2" fontId="8" fillId="2" borderId="3" xfId="0" applyNumberFormat="1" applyFont="1" applyFill="1" applyBorder="1" applyAlignment="1">
      <alignment horizontal="center" vertical="center"/>
    </xf>
    <xf numFmtId="170" fontId="0" fillId="0" borderId="0" xfId="0" applyNumberFormat="1"/>
    <xf numFmtId="164" fontId="0" fillId="5" borderId="0" xfId="0" applyNumberFormat="1" applyFill="1"/>
    <xf numFmtId="169" fontId="0" fillId="5" borderId="0" xfId="0" applyNumberFormat="1" applyFill="1"/>
    <xf numFmtId="165" fontId="0" fillId="0" borderId="0" xfId="0" applyNumberFormat="1" applyAlignment="1">
      <alignment horizontal="right"/>
    </xf>
    <xf numFmtId="0" fontId="0" fillId="0" borderId="0" xfId="0" applyNumberFormat="1"/>
    <xf numFmtId="0" fontId="17" fillId="3" borderId="0" xfId="0" applyFont="1" applyFill="1" applyAlignment="1">
      <alignment horizontal="right"/>
    </xf>
    <xf numFmtId="0" fontId="18" fillId="3" borderId="0" xfId="0" applyFont="1" applyFill="1" applyAlignment="1">
      <alignment horizontal="right" vertical="center" indent="1"/>
    </xf>
    <xf numFmtId="170" fontId="8" fillId="2" borderId="3" xfId="0" applyNumberFormat="1" applyFont="1" applyFill="1" applyBorder="1" applyAlignment="1">
      <alignment horizontal="center" vertical="center"/>
    </xf>
    <xf numFmtId="0" fontId="20" fillId="6" borderId="3" xfId="0" applyFont="1" applyFill="1" applyBorder="1" applyAlignment="1">
      <alignment horizontal="center" vertical="center"/>
    </xf>
    <xf numFmtId="3" fontId="3" fillId="3" borderId="0" xfId="0" applyNumberFormat="1" applyFont="1" applyFill="1"/>
    <xf numFmtId="0" fontId="3" fillId="4" borderId="1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3" fontId="3" fillId="4" borderId="1" xfId="0" applyNumberFormat="1" applyFont="1" applyFill="1" applyBorder="1" applyAlignment="1" applyProtection="1">
      <alignment horizontal="center" vertical="center"/>
      <protection locked="0"/>
    </xf>
    <xf numFmtId="3" fontId="8" fillId="2" borderId="2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3" fillId="3" borderId="7" xfId="0" applyFont="1" applyFill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theme="9" tint="0.59996337778862885"/>
        </patternFill>
      </fill>
    </dxf>
    <dxf>
      <font>
        <color rgb="FF293241"/>
      </font>
      <fill>
        <patternFill>
          <bgColor rgb="FF293241"/>
        </patternFill>
      </fill>
      <border>
        <left/>
        <right/>
        <top style="thin">
          <color rgb="FFE0FBFC"/>
        </top>
        <bottom style="thin">
          <color rgb="FFE0FBFC"/>
        </bottom>
        <vertical/>
        <horizontal/>
      </border>
    </dxf>
  </dxfs>
  <tableStyles count="0" defaultTableStyle="TableStyleMedium2" defaultPivotStyle="PivotStyleLight16"/>
  <colors>
    <mruColors>
      <color rgb="FF98C1D9"/>
      <color rgb="FFEE6C4D"/>
      <color rgb="FF293241"/>
      <color rgb="FFE0FBFC"/>
      <color rgb="FF3D5A80"/>
      <color rgb="FF21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circle</c:v>
          </c:tx>
          <c:spPr>
            <a:ln w="25400" cap="rnd">
              <a:solidFill>
                <a:srgbClr val="E0FBFC"/>
              </a:solidFill>
              <a:round/>
            </a:ln>
            <a:effectLst/>
          </c:spPr>
          <c:marker>
            <c:symbol val="none"/>
          </c:marker>
          <c:xVal>
            <c:numRef>
              <c:f>Coordinates!$B$3:$B$39</c:f>
              <c:numCache>
                <c:formatCode>General</c:formatCode>
                <c:ptCount val="37"/>
                <c:pt idx="0">
                  <c:v>18</c:v>
                </c:pt>
                <c:pt idx="1">
                  <c:v>17.726539554219745</c:v>
                </c:pt>
                <c:pt idx="2">
                  <c:v>16.914467174146353</c:v>
                </c:pt>
                <c:pt idx="3">
                  <c:v>15.588457268119896</c:v>
                </c:pt>
                <c:pt idx="4">
                  <c:v>13.788799976141604</c:v>
                </c:pt>
                <c:pt idx="5">
                  <c:v>11.570176974357709</c:v>
                </c:pt>
                <c:pt idx="6">
                  <c:v>9.0000000000000018</c:v>
                </c:pt>
                <c:pt idx="7">
                  <c:v>6.1563625798620389</c:v>
                </c:pt>
                <c:pt idx="8">
                  <c:v>3.1256671980047477</c:v>
                </c:pt>
                <c:pt idx="9">
                  <c:v>1.102633609417758E-15</c:v>
                </c:pt>
                <c:pt idx="10">
                  <c:v>-3.1256671980047455</c:v>
                </c:pt>
                <c:pt idx="11">
                  <c:v>-6.1563625798620372</c:v>
                </c:pt>
                <c:pt idx="12">
                  <c:v>-8.9999999999999964</c:v>
                </c:pt>
                <c:pt idx="13">
                  <c:v>-11.570176974357709</c:v>
                </c:pt>
                <c:pt idx="14">
                  <c:v>-13.788799976141602</c:v>
                </c:pt>
                <c:pt idx="15">
                  <c:v>-15.588457268119896</c:v>
                </c:pt>
                <c:pt idx="16">
                  <c:v>-16.914467174146349</c:v>
                </c:pt>
                <c:pt idx="17">
                  <c:v>-17.726539554219745</c:v>
                </c:pt>
                <c:pt idx="18">
                  <c:v>-18</c:v>
                </c:pt>
                <c:pt idx="19">
                  <c:v>-17.726539554219745</c:v>
                </c:pt>
                <c:pt idx="20">
                  <c:v>-16.914467174146353</c:v>
                </c:pt>
                <c:pt idx="21">
                  <c:v>-15.588457268119894</c:v>
                </c:pt>
                <c:pt idx="22">
                  <c:v>-13.788799976141604</c:v>
                </c:pt>
                <c:pt idx="23">
                  <c:v>-11.570176974357711</c:v>
                </c:pt>
                <c:pt idx="24">
                  <c:v>-9.0000000000000071</c:v>
                </c:pt>
                <c:pt idx="25">
                  <c:v>-6.1563625798620487</c:v>
                </c:pt>
                <c:pt idx="26">
                  <c:v>-3.1256671980047459</c:v>
                </c:pt>
                <c:pt idx="27">
                  <c:v>-3.307900828253274E-15</c:v>
                </c:pt>
                <c:pt idx="28">
                  <c:v>3.1256671980047397</c:v>
                </c:pt>
                <c:pt idx="29">
                  <c:v>6.1563625798620265</c:v>
                </c:pt>
                <c:pt idx="30">
                  <c:v>9.0000000000000018</c:v>
                </c:pt>
                <c:pt idx="31">
                  <c:v>11.570176974357707</c:v>
                </c:pt>
                <c:pt idx="32">
                  <c:v>13.7887999761416</c:v>
                </c:pt>
                <c:pt idx="33">
                  <c:v>15.588457268119891</c:v>
                </c:pt>
                <c:pt idx="34">
                  <c:v>16.914467174146353</c:v>
                </c:pt>
                <c:pt idx="35">
                  <c:v>17.726539554219741</c:v>
                </c:pt>
                <c:pt idx="36">
                  <c:v>18</c:v>
                </c:pt>
              </c:numCache>
            </c:numRef>
          </c:xVal>
          <c:yVal>
            <c:numRef>
              <c:f>Coordinates!$C$3:$C$39</c:f>
              <c:numCache>
                <c:formatCode>General</c:formatCode>
                <c:ptCount val="37"/>
                <c:pt idx="0">
                  <c:v>0</c:v>
                </c:pt>
                <c:pt idx="1">
                  <c:v>3.1256671980047459</c:v>
                </c:pt>
                <c:pt idx="2">
                  <c:v>6.1563625798620372</c:v>
                </c:pt>
                <c:pt idx="3">
                  <c:v>8.9999999999999982</c:v>
                </c:pt>
                <c:pt idx="4">
                  <c:v>11.570176974357707</c:v>
                </c:pt>
                <c:pt idx="5">
                  <c:v>13.788799976141604</c:v>
                </c:pt>
                <c:pt idx="6">
                  <c:v>15.588457268119894</c:v>
                </c:pt>
                <c:pt idx="7">
                  <c:v>16.914467174146349</c:v>
                </c:pt>
                <c:pt idx="8">
                  <c:v>17.726539554219745</c:v>
                </c:pt>
                <c:pt idx="9">
                  <c:v>18</c:v>
                </c:pt>
                <c:pt idx="10">
                  <c:v>17.726539554219745</c:v>
                </c:pt>
                <c:pt idx="11">
                  <c:v>16.914467174146353</c:v>
                </c:pt>
                <c:pt idx="12">
                  <c:v>15.588457268119896</c:v>
                </c:pt>
                <c:pt idx="13">
                  <c:v>13.788799976141604</c:v>
                </c:pt>
                <c:pt idx="14">
                  <c:v>11.570176974357711</c:v>
                </c:pt>
                <c:pt idx="15">
                  <c:v>8.9999999999999982</c:v>
                </c:pt>
                <c:pt idx="16">
                  <c:v>6.1563625798620398</c:v>
                </c:pt>
                <c:pt idx="17">
                  <c:v>3.125667198004745</c:v>
                </c:pt>
                <c:pt idx="18">
                  <c:v>2.205267218835516E-15</c:v>
                </c:pt>
                <c:pt idx="19">
                  <c:v>-3.1256671980047486</c:v>
                </c:pt>
                <c:pt idx="20">
                  <c:v>-6.1563625798620354</c:v>
                </c:pt>
                <c:pt idx="21">
                  <c:v>-9.0000000000000018</c:v>
                </c:pt>
                <c:pt idx="22">
                  <c:v>-11.570176974357707</c:v>
                </c:pt>
                <c:pt idx="23">
                  <c:v>-13.788799976141602</c:v>
                </c:pt>
                <c:pt idx="24">
                  <c:v>-15.588457268119891</c:v>
                </c:pt>
                <c:pt idx="25">
                  <c:v>-16.914467174146349</c:v>
                </c:pt>
                <c:pt idx="26">
                  <c:v>-17.726539554219745</c:v>
                </c:pt>
                <c:pt idx="27">
                  <c:v>-18</c:v>
                </c:pt>
                <c:pt idx="28">
                  <c:v>-17.726539554219748</c:v>
                </c:pt>
                <c:pt idx="29">
                  <c:v>-16.914467174146353</c:v>
                </c:pt>
                <c:pt idx="30">
                  <c:v>-15.588457268119894</c:v>
                </c:pt>
                <c:pt idx="31">
                  <c:v>-13.788799976141606</c:v>
                </c:pt>
                <c:pt idx="32">
                  <c:v>-11.570176974357713</c:v>
                </c:pt>
                <c:pt idx="33">
                  <c:v>-9.0000000000000071</c:v>
                </c:pt>
                <c:pt idx="34">
                  <c:v>-6.1563625798620345</c:v>
                </c:pt>
                <c:pt idx="35">
                  <c:v>-3.1256671980047628</c:v>
                </c:pt>
                <c:pt idx="36">
                  <c:v>-4.410534437671032E-15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27-419D-A96E-6E63C3C35AE2}"/>
            </c:ext>
          </c:extLst>
        </c:ser>
        <c:ser>
          <c:idx val="1"/>
          <c:order val="1"/>
          <c:tx>
            <c:v>circ_bars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EE6C4D"/>
              </a:solidFill>
              <a:ln w="9525">
                <a:noFill/>
              </a:ln>
              <a:effectLst/>
            </c:spPr>
          </c:marker>
          <c:xVal>
            <c:numRef>
              <c:f>Coordinates!$F$3:$F$102</c:f>
              <c:numCache>
                <c:formatCode>General</c:formatCode>
                <c:ptCount val="100"/>
                <c:pt idx="0">
                  <c:v>4.4609693307967406</c:v>
                </c:pt>
                <c:pt idx="1">
                  <c:v>11.678969330796741</c:v>
                </c:pt>
                <c:pt idx="2">
                  <c:v>14.436</c:v>
                </c:pt>
                <c:pt idx="3">
                  <c:v>11.678969330796741</c:v>
                </c:pt>
                <c:pt idx="4">
                  <c:v>4.4609693307967424</c:v>
                </c:pt>
                <c:pt idx="5">
                  <c:v>-4.4609693307967389</c:v>
                </c:pt>
                <c:pt idx="6">
                  <c:v>-11.67896933079674</c:v>
                </c:pt>
                <c:pt idx="7">
                  <c:v>-14.436</c:v>
                </c:pt>
                <c:pt idx="8">
                  <c:v>-11.678969330796743</c:v>
                </c:pt>
                <c:pt idx="9">
                  <c:v>-4.4609693307967442</c:v>
                </c:pt>
              </c:numCache>
            </c:numRef>
          </c:xVal>
          <c:yVal>
            <c:numRef>
              <c:f>Coordinates!$G$3:$G$102</c:f>
              <c:numCache>
                <c:formatCode>General</c:formatCode>
                <c:ptCount val="100"/>
                <c:pt idx="0">
                  <c:v>-13.729451869236836</c:v>
                </c:pt>
                <c:pt idx="1">
                  <c:v>-8.4852679020941419</c:v>
                </c:pt>
                <c:pt idx="2">
                  <c:v>-8.8395005962455958E-16</c:v>
                </c:pt>
                <c:pt idx="3">
                  <c:v>8.4852679020941402</c:v>
                </c:pt>
                <c:pt idx="4">
                  <c:v>13.729451869236836</c:v>
                </c:pt>
                <c:pt idx="5">
                  <c:v>13.729451869236838</c:v>
                </c:pt>
                <c:pt idx="6">
                  <c:v>8.4852679020941437</c:v>
                </c:pt>
                <c:pt idx="7">
                  <c:v>2.6518501788736785E-15</c:v>
                </c:pt>
                <c:pt idx="8">
                  <c:v>-8.4852679020941384</c:v>
                </c:pt>
                <c:pt idx="9">
                  <c:v>-13.729451869236836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27-419D-A96E-6E63C3C35AE2}"/>
            </c:ext>
          </c:extLst>
        </c:ser>
        <c:ser>
          <c:idx val="2"/>
          <c:order val="2"/>
          <c:tx>
            <c:v>rectangle+Coordinates!$J$3:$J$7</c:v>
          </c:tx>
          <c:spPr>
            <a:ln w="25400" cap="rnd">
              <a:solidFill>
                <a:srgbClr val="E0FBFC"/>
              </a:solidFill>
              <a:round/>
            </a:ln>
            <a:effectLst/>
          </c:spPr>
          <c:marker>
            <c:symbol val="none"/>
          </c:marker>
          <c:xVal>
            <c:numRef>
              <c:f>Coordinates!$J$3:$J$7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Coordinates!$K$3:$K$7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27-419D-A96E-6E63C3C35AE2}"/>
            </c:ext>
          </c:extLst>
        </c:ser>
        <c:ser>
          <c:idx val="3"/>
          <c:order val="3"/>
          <c:tx>
            <c:v>rect_bars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EE6C4D"/>
              </a:solidFill>
              <a:ln w="9525">
                <a:noFill/>
              </a:ln>
              <a:effectLst/>
            </c:spPr>
          </c:marker>
          <c:xVal>
            <c:numRef>
              <c:f>Coordinates!$N$3:$N$102</c:f>
              <c:numCache>
                <c:formatCode>General</c:formatCode>
                <c:ptCount val="100"/>
              </c:numCache>
            </c:numRef>
          </c:xVal>
          <c:yVal>
            <c:numRef>
              <c:f>Coordinates!$O$3:$O$102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27-419D-A96E-6E63C3C35AE2}"/>
            </c:ext>
          </c:extLst>
        </c:ser>
        <c:ser>
          <c:idx val="4"/>
          <c:order val="4"/>
          <c:tx>
            <c:v>scale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Coordinates!$R$3:$R$4</c:f>
              <c:numCache>
                <c:formatCode>General</c:formatCode>
                <c:ptCount val="2"/>
                <c:pt idx="0">
                  <c:v>-18</c:v>
                </c:pt>
                <c:pt idx="1">
                  <c:v>18</c:v>
                </c:pt>
              </c:numCache>
            </c:numRef>
          </c:xVal>
          <c:yVal>
            <c:numRef>
              <c:f>Coordinates!$S$3:$S$4</c:f>
              <c:numCache>
                <c:formatCode>General</c:formatCode>
                <c:ptCount val="2"/>
                <c:pt idx="0">
                  <c:v>-18</c:v>
                </c:pt>
                <c:pt idx="1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27-419D-A96E-6E63C3C3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549743"/>
        <c:axId val="2005555151"/>
      </c:scatterChart>
      <c:valAx>
        <c:axId val="2005549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5555151"/>
        <c:crosses val="autoZero"/>
        <c:crossBetween val="midCat"/>
        <c:majorUnit val="1"/>
      </c:valAx>
      <c:valAx>
        <c:axId val="200555515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005549743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E0FBFC"/>
                </a:solidFill>
              </a:rPr>
              <a:t>PM Diagram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Nominal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EE6C4D"/>
              </a:solidFill>
              <a:ln w="19050" cap="rnd" cmpd="sng" algn="ctr">
                <a:solidFill>
                  <a:srgbClr val="3D5A80"/>
                </a:solidFill>
                <a:prstDash val="sysDot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Results!$E$3:$E$15</c:f>
            </c:numRef>
          </c:xVal>
          <c:yVal>
            <c:numRef>
              <c:f>Results!$D$3:$D$15</c:f>
            </c:numRef>
          </c:yVal>
          <c:smooth val="1"/>
          <c:extLst>
            <c:ext xmlns:c16="http://schemas.microsoft.com/office/drawing/2014/chart" uri="{C3380CC4-5D6E-409C-BE32-E72D297353CC}">
              <c16:uniqueId val="{00000001-5B9E-4332-BA3B-BFF15EEBCD2E}"/>
            </c:ext>
          </c:extLst>
        </c:ser>
        <c:ser>
          <c:idx val="1"/>
          <c:order val="1"/>
          <c:tx>
            <c:v>Factored</c:v>
          </c:tx>
          <c:spPr>
            <a:ln w="19050" cap="rnd">
              <a:solidFill>
                <a:srgbClr val="EE6C4D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19050">
                <a:solidFill>
                  <a:srgbClr val="98C1D9"/>
                </a:solidFill>
              </a:ln>
              <a:effectLst/>
            </c:spPr>
          </c:marker>
          <c:xVal>
            <c:numRef>
              <c:f>Results!$G$3:$G$15</c:f>
              <c:numCache>
                <c:formatCode>#,##0</c:formatCode>
                <c:ptCount val="13"/>
                <c:pt idx="0">
                  <c:v>4.2632564145606011E-14</c:v>
                </c:pt>
                <c:pt idx="1">
                  <c:v>689.67467510011215</c:v>
                </c:pt>
                <c:pt idx="2">
                  <c:v>918.75471985036779</c:v>
                </c:pt>
                <c:pt idx="3">
                  <c:v>1030.7866921027826</c:v>
                </c:pt>
                <c:pt idx="4">
                  <c:v>1080.9181035269135</c:v>
                </c:pt>
                <c:pt idx="5">
                  <c:v>1104.5567138243314</c:v>
                </c:pt>
                <c:pt idx="6">
                  <c:v>1092.9493779325207</c:v>
                </c:pt>
                <c:pt idx="7">
                  <c:v>942.38141173465044</c:v>
                </c:pt>
                <c:pt idx="8">
                  <c:v>779.87887158746298</c:v>
                </c:pt>
                <c:pt idx="9">
                  <c:v>543.83215202898987</c:v>
                </c:pt>
                <c:pt idx="10">
                  <c:v>402.85713722414249</c:v>
                </c:pt>
                <c:pt idx="11">
                  <c:v>311.82211246019983</c:v>
                </c:pt>
                <c:pt idx="12">
                  <c:v>-5.1159076974727215E-14</c:v>
                </c:pt>
              </c:numCache>
            </c:numRef>
          </c:xVal>
          <c:yVal>
            <c:numRef>
              <c:f>Results!$F$3:$F$15</c:f>
              <c:numCache>
                <c:formatCode>#,##0</c:formatCode>
                <c:ptCount val="13"/>
                <c:pt idx="0">
                  <c:v>2566.8288189083787</c:v>
                </c:pt>
                <c:pt idx="1">
                  <c:v>2343.6239274132481</c:v>
                </c:pt>
                <c:pt idx="2">
                  <c:v>1949.6361636501222</c:v>
                </c:pt>
                <c:pt idx="3">
                  <c:v>1623.7234482663857</c:v>
                </c:pt>
                <c:pt idx="4">
                  <c:v>1354.1763642987589</c:v>
                </c:pt>
                <c:pt idx="5">
                  <c:v>1132.4966229181673</c:v>
                </c:pt>
                <c:pt idx="6">
                  <c:v>686.39602863579773</c:v>
                </c:pt>
                <c:pt idx="7">
                  <c:v>369.32603307581422</c:v>
                </c:pt>
                <c:pt idx="8">
                  <c:v>174.96384712726768</c:v>
                </c:pt>
                <c:pt idx="9">
                  <c:v>-78.952186674970889</c:v>
                </c:pt>
                <c:pt idx="10">
                  <c:v>-213.66643380722144</c:v>
                </c:pt>
                <c:pt idx="11">
                  <c:v>-291.49810020821292</c:v>
                </c:pt>
                <c:pt idx="12">
                  <c:v>-539.63715063760117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08-40E2-BCD2-96139057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552911"/>
        <c:axId val="1997537103"/>
      </c:scatterChart>
      <c:valAx>
        <c:axId val="199755291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rgbClr val="3D5A8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E0FBFC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rgbClr val="E0FBFC"/>
                    </a:solidFill>
                  </a:rPr>
                  <a:t>Moment (kip-ft)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E0FBF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E0FBFC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537103"/>
        <c:crossesAt val="0"/>
        <c:crossBetween val="midCat"/>
      </c:valAx>
      <c:valAx>
        <c:axId val="199753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D5A80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E0FBFC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rgbClr val="E0FBFC"/>
                    </a:solidFill>
                  </a:rPr>
                  <a:t>Compression (kip)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E0FBF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E0FBFC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552911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E0FBFC"/>
                </a:solidFill>
              </a:rPr>
              <a:t>PM Diagram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Excel</c:v>
          </c:tx>
          <c:spPr>
            <a:ln w="19050" cap="rnd">
              <a:solidFill>
                <a:srgbClr val="EE6C4D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EE6C4D"/>
              </a:solidFill>
              <a:ln w="19050" cap="rnd" cmpd="sng" algn="ctr">
                <a:noFill/>
                <a:prstDash val="sysDot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Comparison!$E$4:$E$16</c:f>
              <c:numCache>
                <c:formatCode>#,##0</c:formatCode>
                <c:ptCount val="13"/>
                <c:pt idx="0">
                  <c:v>4.2632564145606011E-14</c:v>
                </c:pt>
                <c:pt idx="1">
                  <c:v>689.67467510011215</c:v>
                </c:pt>
                <c:pt idx="2">
                  <c:v>918.75471985036779</c:v>
                </c:pt>
                <c:pt idx="3">
                  <c:v>1030.7866921027826</c:v>
                </c:pt>
                <c:pt idx="4">
                  <c:v>1080.9181035269135</c:v>
                </c:pt>
                <c:pt idx="5">
                  <c:v>1104.5567138243314</c:v>
                </c:pt>
                <c:pt idx="6">
                  <c:v>1092.9493779325207</c:v>
                </c:pt>
                <c:pt idx="7">
                  <c:v>942.38141173465044</c:v>
                </c:pt>
                <c:pt idx="8">
                  <c:v>779.87887158746298</c:v>
                </c:pt>
                <c:pt idx="9">
                  <c:v>543.83215202898987</c:v>
                </c:pt>
                <c:pt idx="10">
                  <c:v>402.85713722414249</c:v>
                </c:pt>
                <c:pt idx="11">
                  <c:v>311.82211246019983</c:v>
                </c:pt>
                <c:pt idx="12">
                  <c:v>-5.1159076974727215E-14</c:v>
                </c:pt>
              </c:numCache>
            </c:numRef>
          </c:xVal>
          <c:yVal>
            <c:numRef>
              <c:f>Comparison!$D$4:$D$16</c:f>
              <c:numCache>
                <c:formatCode>#,##0</c:formatCode>
                <c:ptCount val="13"/>
                <c:pt idx="0">
                  <c:v>2566.8288189083787</c:v>
                </c:pt>
                <c:pt idx="1">
                  <c:v>2343.6239274132481</c:v>
                </c:pt>
                <c:pt idx="2">
                  <c:v>1949.6361636501222</c:v>
                </c:pt>
                <c:pt idx="3">
                  <c:v>1623.7234482663857</c:v>
                </c:pt>
                <c:pt idx="4">
                  <c:v>1354.1763642987589</c:v>
                </c:pt>
                <c:pt idx="5">
                  <c:v>1132.4966229181673</c:v>
                </c:pt>
                <c:pt idx="6">
                  <c:v>686.39602863579773</c:v>
                </c:pt>
                <c:pt idx="7">
                  <c:v>369.32603307581422</c:v>
                </c:pt>
                <c:pt idx="8">
                  <c:v>174.96384712726768</c:v>
                </c:pt>
                <c:pt idx="9">
                  <c:v>-78.952186674970889</c:v>
                </c:pt>
                <c:pt idx="10">
                  <c:v>-213.66643380722144</c:v>
                </c:pt>
                <c:pt idx="11">
                  <c:v>-291.49810020821292</c:v>
                </c:pt>
                <c:pt idx="12">
                  <c:v>-539.63715063760117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AB-4DEB-BD1A-9368BC752963}"/>
            </c:ext>
          </c:extLst>
        </c:ser>
        <c:ser>
          <c:idx val="1"/>
          <c:order val="1"/>
          <c:tx>
            <c:v>SpColumn</c:v>
          </c:tx>
          <c:spPr>
            <a:ln w="12700" cap="rnd">
              <a:solidFill>
                <a:srgbClr val="98C1D9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98C1D9"/>
              </a:solidFill>
              <a:ln w="19050">
                <a:noFill/>
              </a:ln>
              <a:effectLst/>
            </c:spPr>
          </c:marker>
          <c:xVal>
            <c:numRef>
              <c:f>Comparison!$B$4:$B$11</c:f>
              <c:numCache>
                <c:formatCode>#,##0</c:formatCode>
                <c:ptCount val="8"/>
                <c:pt idx="0">
                  <c:v>0</c:v>
                </c:pt>
                <c:pt idx="1">
                  <c:v>476.06</c:v>
                </c:pt>
                <c:pt idx="2">
                  <c:v>638.16</c:v>
                </c:pt>
                <c:pt idx="3">
                  <c:v>1008.48</c:v>
                </c:pt>
                <c:pt idx="4">
                  <c:v>1090.82</c:v>
                </c:pt>
                <c:pt idx="5">
                  <c:v>1059.92</c:v>
                </c:pt>
                <c:pt idx="6">
                  <c:v>624.04</c:v>
                </c:pt>
                <c:pt idx="7">
                  <c:v>0</c:v>
                </c:pt>
              </c:numCache>
            </c:numRef>
          </c:xVal>
          <c:yVal>
            <c:numRef>
              <c:f>Comparison!$A$4:$A$11</c:f>
              <c:numCache>
                <c:formatCode>#,##0</c:formatCode>
                <c:ptCount val="8"/>
                <c:pt idx="0">
                  <c:v>2567.1</c:v>
                </c:pt>
                <c:pt idx="1">
                  <c:v>2567.1</c:v>
                </c:pt>
                <c:pt idx="2">
                  <c:v>2377.4</c:v>
                </c:pt>
                <c:pt idx="3">
                  <c:v>1662.5</c:v>
                </c:pt>
                <c:pt idx="4">
                  <c:v>1163.3</c:v>
                </c:pt>
                <c:pt idx="5">
                  <c:v>561</c:v>
                </c:pt>
                <c:pt idx="6">
                  <c:v>0</c:v>
                </c:pt>
                <c:pt idx="7">
                  <c:v>-540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AB-4DEB-BD1A-9368BC752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552911"/>
        <c:axId val="1997537103"/>
      </c:scatterChart>
      <c:valAx>
        <c:axId val="199755291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rgbClr val="3D5A8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E0FBFC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rgbClr val="E0FBFC"/>
                    </a:solidFill>
                  </a:rPr>
                  <a:t>Moment (kip-ft)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E0FBF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E0FBFC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537103"/>
        <c:crossesAt val="0"/>
        <c:crossBetween val="midCat"/>
      </c:valAx>
      <c:valAx>
        <c:axId val="199753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D5A80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E0FBFC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rgbClr val="E0FBFC"/>
                    </a:solidFill>
                  </a:rPr>
                  <a:t>Compression (kip)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E0FBF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E0FBFC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552911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E0FBFC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E0FBFC"/>
                </a:solidFill>
              </a:rPr>
              <a:t>PM Diagram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Excel</c:v>
          </c:tx>
          <c:spPr>
            <a:ln w="19050" cap="rnd">
              <a:solidFill>
                <a:srgbClr val="EE6C4D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EE6C4D"/>
              </a:solidFill>
              <a:ln w="19050" cap="rnd" cmpd="sng" algn="ctr">
                <a:noFill/>
                <a:prstDash val="sysDot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Comparison!$E$28:$E$40</c:f>
              <c:numCache>
                <c:formatCode>#,##0</c:formatCode>
                <c:ptCount val="13"/>
                <c:pt idx="0">
                  <c:v>0</c:v>
                </c:pt>
                <c:pt idx="1">
                  <c:v>92.103601901781744</c:v>
                </c:pt>
                <c:pt idx="2">
                  <c:v>106.91578938502619</c:v>
                </c:pt>
                <c:pt idx="3">
                  <c:v>115.03985743784156</c:v>
                </c:pt>
                <c:pt idx="4">
                  <c:v>118.74736440178992</c:v>
                </c:pt>
                <c:pt idx="5">
                  <c:v>121.56878535823279</c:v>
                </c:pt>
                <c:pt idx="6">
                  <c:v>118.6123147356485</c:v>
                </c:pt>
                <c:pt idx="7">
                  <c:v>105.66018043810378</c:v>
                </c:pt>
                <c:pt idx="8">
                  <c:v>89.623198309988737</c:v>
                </c:pt>
                <c:pt idx="9">
                  <c:v>65.749335691605026</c:v>
                </c:pt>
                <c:pt idx="10">
                  <c:v>44.541475949055979</c:v>
                </c:pt>
                <c:pt idx="11">
                  <c:v>31.259970522587299</c:v>
                </c:pt>
                <c:pt idx="12">
                  <c:v>0</c:v>
                </c:pt>
              </c:numCache>
            </c:numRef>
          </c:xVal>
          <c:yVal>
            <c:numRef>
              <c:f>Comparison!$D$28:$D$40</c:f>
              <c:numCache>
                <c:formatCode>#,##0</c:formatCode>
                <c:ptCount val="13"/>
                <c:pt idx="0">
                  <c:v>504.71977884621379</c:v>
                </c:pt>
                <c:pt idx="1">
                  <c:v>390.2239875565964</c:v>
                </c:pt>
                <c:pt idx="2">
                  <c:v>326.69316046562562</c:v>
                </c:pt>
                <c:pt idx="3">
                  <c:v>275.91233337465479</c:v>
                </c:pt>
                <c:pt idx="4">
                  <c:v>230.34895527667686</c:v>
                </c:pt>
                <c:pt idx="5">
                  <c:v>191.4929118648935</c:v>
                </c:pt>
                <c:pt idx="6">
                  <c:v>136.95209441041641</c:v>
                </c:pt>
                <c:pt idx="7">
                  <c:v>90.225923069743104</c:v>
                </c:pt>
                <c:pt idx="8">
                  <c:v>50.674116578922096</c:v>
                </c:pt>
                <c:pt idx="9">
                  <c:v>-5.1367022896891328</c:v>
                </c:pt>
                <c:pt idx="10">
                  <c:v>-52.435706382130782</c:v>
                </c:pt>
                <c:pt idx="11">
                  <c:v>-81.151992475066109</c:v>
                </c:pt>
                <c:pt idx="12">
                  <c:v>-132.53594007331941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F6-4C56-AE17-8A2874E348B4}"/>
            </c:ext>
          </c:extLst>
        </c:ser>
        <c:ser>
          <c:idx val="1"/>
          <c:order val="1"/>
          <c:tx>
            <c:v>SpColumn</c:v>
          </c:tx>
          <c:spPr>
            <a:ln w="12700" cap="rnd">
              <a:solidFill>
                <a:srgbClr val="98C1D9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98C1D9"/>
              </a:solidFill>
              <a:ln w="19050">
                <a:noFill/>
              </a:ln>
              <a:effectLst/>
            </c:spPr>
          </c:marker>
          <c:xVal>
            <c:numRef>
              <c:f>Comparison!$B$28:$B$35</c:f>
              <c:numCache>
                <c:formatCode>#,##0</c:formatCode>
                <c:ptCount val="8"/>
                <c:pt idx="0">
                  <c:v>0</c:v>
                </c:pt>
                <c:pt idx="1">
                  <c:v>46.48</c:v>
                </c:pt>
                <c:pt idx="2">
                  <c:v>91.67</c:v>
                </c:pt>
                <c:pt idx="3">
                  <c:v>115.1</c:v>
                </c:pt>
                <c:pt idx="4">
                  <c:v>121.38</c:v>
                </c:pt>
                <c:pt idx="5">
                  <c:v>116.41</c:v>
                </c:pt>
                <c:pt idx="6">
                  <c:v>68.63</c:v>
                </c:pt>
                <c:pt idx="7">
                  <c:v>0</c:v>
                </c:pt>
              </c:numCache>
            </c:numRef>
          </c:xVal>
          <c:yVal>
            <c:numRef>
              <c:f>Comparison!$A$28:$A$35</c:f>
              <c:numCache>
                <c:formatCode>#,##0</c:formatCode>
                <c:ptCount val="8"/>
                <c:pt idx="0">
                  <c:v>505.6</c:v>
                </c:pt>
                <c:pt idx="1">
                  <c:v>505.6</c:v>
                </c:pt>
                <c:pt idx="2">
                  <c:v>390.8</c:v>
                </c:pt>
                <c:pt idx="3">
                  <c:v>276.2</c:v>
                </c:pt>
                <c:pt idx="4">
                  <c:v>190.5</c:v>
                </c:pt>
                <c:pt idx="5">
                  <c:v>116.9</c:v>
                </c:pt>
                <c:pt idx="6">
                  <c:v>0</c:v>
                </c:pt>
                <c:pt idx="7">
                  <c:v>-133.9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F6-4C56-AE17-8A2874E34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552911"/>
        <c:axId val="1997537103"/>
      </c:scatterChart>
      <c:valAx>
        <c:axId val="199755291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rgbClr val="3D5A8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E0FBFC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rgbClr val="E0FBFC"/>
                    </a:solidFill>
                  </a:rPr>
                  <a:t>Moment (kip-ft)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E0FBF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E0FBFC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537103"/>
        <c:crossesAt val="0"/>
        <c:crossBetween val="midCat"/>
      </c:valAx>
      <c:valAx>
        <c:axId val="199753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D5A80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E0FBFC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rgbClr val="E0FBFC"/>
                    </a:solidFill>
                  </a:rPr>
                  <a:t>Compression (kip)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rgbClr val="E0FBF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E0FBFC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552911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E0FBFC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571500</xdr:colOff>
      <xdr:row>1</xdr:row>
      <xdr:rowOff>30480</xdr:rowOff>
    </xdr:from>
    <xdr:to>
      <xdr:col>11</xdr:col>
      <xdr:colOff>22860</xdr:colOff>
      <xdr:row>24</xdr:row>
      <xdr:rowOff>121920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0</xdr:row>
      <xdr:rowOff>152400</xdr:rowOff>
    </xdr:from>
    <xdr:to>
      <xdr:col>11</xdr:col>
      <xdr:colOff>396240</xdr:colOff>
      <xdr:row>2</xdr:row>
      <xdr:rowOff>99060</xdr:rowOff>
    </xdr:to>
    <xdr:sp macro="[0]!p_m_data" textlink="">
      <xdr:nvSpPr>
        <xdr:cNvPr id="3" name="Rounded Rectangle 2"/>
        <xdr:cNvSpPr/>
      </xdr:nvSpPr>
      <xdr:spPr>
        <a:xfrm>
          <a:off x="6370320" y="152400"/>
          <a:ext cx="1005840" cy="457200"/>
        </a:xfrm>
        <a:prstGeom prst="roundRect">
          <a:avLst/>
        </a:prstGeom>
        <a:solidFill>
          <a:srgbClr val="3D5A80"/>
        </a:solidFill>
        <a:ln w="9525">
          <a:solidFill>
            <a:srgbClr val="E0FBF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Trebuchet MS" panose="020B0603020202020204" pitchFamily="34" charset="0"/>
              <a:cs typeface="Arial" panose="020B0604020202020204" pitchFamily="34" charset="0"/>
            </a:rPr>
            <a:t>Calculate PM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39688</xdr:colOff>
      <xdr:row>0</xdr:row>
      <xdr:rowOff>7938</xdr:rowOff>
    </xdr:from>
    <xdr:to>
      <xdr:col>16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104776</xdr:colOff>
      <xdr:row>18</xdr:row>
      <xdr:rowOff>102870</xdr:rowOff>
    </xdr:from>
    <xdr:to>
      <xdr:col>6</xdr:col>
      <xdr:colOff>501016</xdr:colOff>
      <xdr:row>19</xdr:row>
      <xdr:rowOff>369570</xdr:rowOff>
    </xdr:to>
    <xdr:sp macro="[0]!go_to_UserInput" textlink="">
      <xdr:nvSpPr>
        <xdr:cNvPr id="3" name="Rounded Rectangle 2"/>
        <xdr:cNvSpPr/>
      </xdr:nvSpPr>
      <xdr:spPr>
        <a:xfrm>
          <a:off x="3076576" y="3737610"/>
          <a:ext cx="1005840" cy="457200"/>
        </a:xfrm>
        <a:prstGeom prst="roundRect">
          <a:avLst/>
        </a:prstGeom>
        <a:solidFill>
          <a:srgbClr val="3D5A80"/>
        </a:solidFill>
        <a:ln w="9525">
          <a:solidFill>
            <a:srgbClr val="E0FBF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Trebuchet MS" panose="020B0603020202020204" pitchFamily="34" charset="0"/>
              <a:cs typeface="Arial" panose="020B0604020202020204" pitchFamily="34" charset="0"/>
            </a:rPr>
            <a:t>Return</a:t>
          </a:r>
          <a:r>
            <a:rPr lang="en-US" sz="1000" baseline="0">
              <a:latin typeface="Trebuchet MS" panose="020B0603020202020204" pitchFamily="34" charset="0"/>
              <a:cs typeface="Arial" panose="020B0604020202020204" pitchFamily="34" charset="0"/>
            </a:rPr>
            <a:t> to User Input</a:t>
          </a:r>
          <a:endParaRPr lang="en-US" sz="1000">
            <a:latin typeface="Trebuchet MS" panose="020B0603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373380</xdr:colOff>
      <xdr:row>18</xdr:row>
      <xdr:rowOff>102870</xdr:rowOff>
    </xdr:from>
    <xdr:to>
      <xdr:col>2</xdr:col>
      <xdr:colOff>693420</xdr:colOff>
      <xdr:row>19</xdr:row>
      <xdr:rowOff>369570</xdr:rowOff>
    </xdr:to>
    <xdr:sp macro="[0]!hide_nominal" textlink="">
      <xdr:nvSpPr>
        <xdr:cNvPr id="4" name="Rounded Rectangle 3"/>
        <xdr:cNvSpPr/>
      </xdr:nvSpPr>
      <xdr:spPr>
        <a:xfrm>
          <a:off x="487680" y="3737610"/>
          <a:ext cx="1005840" cy="457200"/>
        </a:xfrm>
        <a:prstGeom prst="roundRect">
          <a:avLst/>
        </a:prstGeom>
        <a:solidFill>
          <a:srgbClr val="3D5A80"/>
        </a:solidFill>
        <a:ln w="9525">
          <a:solidFill>
            <a:srgbClr val="E0FBF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Trebuchet MS" panose="020B0603020202020204" pitchFamily="34" charset="0"/>
              <a:cs typeface="Arial" panose="020B0604020202020204" pitchFamily="34" charset="0"/>
            </a:rPr>
            <a:t>Show/Hide</a:t>
          </a:r>
          <a:r>
            <a:rPr lang="en-US" sz="1000" baseline="0">
              <a:latin typeface="Trebuchet MS" panose="020B0603020202020204" pitchFamily="34" charset="0"/>
              <a:cs typeface="Arial" panose="020B0604020202020204" pitchFamily="34" charset="0"/>
            </a:rPr>
            <a:t> Nominal</a:t>
          </a:r>
          <a:endParaRPr lang="en-US" sz="1000">
            <a:latin typeface="Trebuchet MS" panose="020B0603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228599</xdr:colOff>
      <xdr:row>0</xdr:row>
      <xdr:rowOff>114299</xdr:rowOff>
    </xdr:from>
    <xdr:to>
      <xdr:col>15</xdr:col>
      <xdr:colOff>496823</xdr:colOff>
      <xdr:row>23</xdr:row>
      <xdr:rowOff>57911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228599</xdr:colOff>
      <xdr:row>24</xdr:row>
      <xdr:rowOff>114299</xdr:rowOff>
    </xdr:from>
    <xdr:to>
      <xdr:col>15</xdr:col>
      <xdr:colOff>496823</xdr:colOff>
      <xdr:row>47</xdr:row>
      <xdr:rowOff>57911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3"/>
  <sheetViews>
    <sheetView showGridLines="0" showRowColHeaders="0" tabSelected="1" zoomScale="110" zoomScaleNormal="110" workbookViewId="0">
      <selection activeCell="B6" sqref="B6"/>
    </sheetView>
  </sheetViews>
  <sheetFormatPr defaultColWidth="0" defaultRowHeight="15" zeroHeight="1" x14ac:dyDescent="0.25"/>
  <cols>
    <col min="1" max="1" width="14.42578125" style="7" bestFit="1" customWidth="1"/>
    <col min="2" max="2" width="12.42578125" style="5" bestFit="1" customWidth="1"/>
    <col min="3" max="3" width="3.7109375" style="6" bestFit="1" customWidth="1"/>
    <col min="4" max="8" width="9.140625" style="3" customWidth="1"/>
    <col min="9" max="9" width="10" style="3" bestFit="1" customWidth="1"/>
    <col min="10" max="12" width="9.140625" style="3" customWidth="1"/>
    <col min="13" max="16384" width="9.140625" style="3" hidden="1"/>
  </cols>
  <sheetData>
    <row r="1" spans="1:12" ht="24.75" customHeight="1" x14ac:dyDescent="0.25">
      <c r="A1" s="65" t="s">
        <v>0</v>
      </c>
      <c r="B1" s="65"/>
      <c r="C1" s="65"/>
      <c r="E1" s="65" t="s">
        <v>27</v>
      </c>
      <c r="F1" s="65"/>
      <c r="G1" s="65"/>
      <c r="H1" s="65"/>
      <c r="I1" s="65"/>
      <c r="J1" s="65"/>
      <c r="K1" s="65"/>
    </row>
    <row r="2" spans="1:12" ht="15.95" customHeight="1" x14ac:dyDescent="0.25">
      <c r="A2" s="42" t="s">
        <v>1</v>
      </c>
      <c r="B2" s="61" t="s">
        <v>78</v>
      </c>
      <c r="C2" s="39"/>
      <c r="I2" s="4"/>
    </row>
    <row r="3" spans="1:12" ht="15.95" customHeight="1" x14ac:dyDescent="0.25">
      <c r="A3" s="42" t="str">
        <f>IF(B2="Circular","Diameter","Height")</f>
        <v>Diameter</v>
      </c>
      <c r="B3" s="61">
        <v>36</v>
      </c>
      <c r="C3" s="39" t="s">
        <v>2</v>
      </c>
      <c r="I3" s="4"/>
    </row>
    <row r="4" spans="1:12" ht="15.95" customHeight="1" x14ac:dyDescent="0.25">
      <c r="A4" s="42" t="str">
        <f>IF(B2="Circular","","Width")</f>
        <v/>
      </c>
      <c r="B4" s="61">
        <v>24</v>
      </c>
      <c r="C4" s="39" t="str">
        <f>IF(B2="Circular","","in")</f>
        <v/>
      </c>
      <c r="I4" s="4"/>
      <c r="L4" s="26" t="str">
        <f>IF(Results!D3="","clr","x")</f>
        <v>x</v>
      </c>
    </row>
    <row r="5" spans="1:12" ht="15.95" customHeight="1" x14ac:dyDescent="0.25">
      <c r="A5" s="42" t="s">
        <v>3</v>
      </c>
      <c r="B5" s="61">
        <v>10</v>
      </c>
      <c r="C5" s="39"/>
      <c r="I5" s="4"/>
    </row>
    <row r="6" spans="1:12" ht="15.95" customHeight="1" x14ac:dyDescent="0.25">
      <c r="A6" s="42" t="s">
        <v>4</v>
      </c>
      <c r="B6" s="61">
        <v>9</v>
      </c>
      <c r="C6" s="39"/>
      <c r="I6" s="4"/>
    </row>
    <row r="7" spans="1:12" ht="15.95" customHeight="1" x14ac:dyDescent="0.25">
      <c r="A7" s="42" t="s">
        <v>5</v>
      </c>
      <c r="B7" s="61">
        <v>3</v>
      </c>
      <c r="C7" s="39" t="s">
        <v>2</v>
      </c>
    </row>
    <row r="8" spans="1:12" ht="15.95" customHeight="1" x14ac:dyDescent="0.25">
      <c r="A8" s="42" t="s">
        <v>11</v>
      </c>
      <c r="B8" s="64">
        <f>IF(B2="Circular",B3^2*PI()/4,B4*B3)</f>
        <v>1017.8760197630929</v>
      </c>
      <c r="C8" s="39" t="s">
        <v>80</v>
      </c>
    </row>
    <row r="9" spans="1:12" ht="9" customHeight="1" x14ac:dyDescent="0.25"/>
    <row r="10" spans="1:12" ht="15.95" customHeight="1" x14ac:dyDescent="0.25">
      <c r="A10" s="65" t="s">
        <v>6</v>
      </c>
      <c r="B10" s="65"/>
      <c r="C10" s="65"/>
    </row>
    <row r="11" spans="1:12" ht="15.95" customHeight="1" x14ac:dyDescent="0.25">
      <c r="A11" s="42" t="s">
        <v>12</v>
      </c>
      <c r="B11" s="61">
        <v>4</v>
      </c>
      <c r="C11" s="39" t="s">
        <v>7</v>
      </c>
    </row>
    <row r="12" spans="1:12" ht="15.95" customHeight="1" x14ac:dyDescent="0.25">
      <c r="A12" s="42" t="s">
        <v>13</v>
      </c>
      <c r="B12" s="61">
        <v>3.0000000000000001E-3</v>
      </c>
      <c r="C12" s="39"/>
    </row>
    <row r="13" spans="1:12" ht="15.95" customHeight="1" x14ac:dyDescent="0.25">
      <c r="A13" s="42" t="s">
        <v>77</v>
      </c>
      <c r="B13" s="61" t="s">
        <v>92</v>
      </c>
      <c r="C13" s="39"/>
    </row>
    <row r="14" spans="1:12" ht="15.95" customHeight="1" x14ac:dyDescent="0.25">
      <c r="A14" s="42" t="s">
        <v>8</v>
      </c>
      <c r="B14" s="50">
        <f>IF(B11&lt;=4,0.85,IF(B11&lt;=5,0.8,IF(B11&lt;=6,0.75,IF(B11&lt;=7,0.7,0.65))))</f>
        <v>0.85</v>
      </c>
      <c r="C14" s="39"/>
      <c r="D14" s="8"/>
    </row>
    <row r="15" spans="1:12" ht="15.95" customHeight="1" x14ac:dyDescent="0.25">
      <c r="A15" s="42" t="s">
        <v>14</v>
      </c>
      <c r="B15" s="64">
        <f>B8-B22</f>
        <v>1007.88273919573</v>
      </c>
      <c r="C15" s="39" t="s">
        <v>80</v>
      </c>
      <c r="D15" s="8"/>
    </row>
    <row r="16" spans="1:12" ht="9" customHeight="1" x14ac:dyDescent="0.25">
      <c r="D16" s="8"/>
    </row>
    <row r="17" spans="1:5" ht="15.95" customHeight="1" x14ac:dyDescent="0.25">
      <c r="A17" s="65" t="s">
        <v>9</v>
      </c>
      <c r="B17" s="65"/>
      <c r="C17" s="65"/>
      <c r="D17" s="8"/>
    </row>
    <row r="18" spans="1:5" ht="15.95" customHeight="1" x14ac:dyDescent="0.25">
      <c r="A18" s="42" t="s">
        <v>15</v>
      </c>
      <c r="B18" s="61">
        <v>60</v>
      </c>
      <c r="C18" s="39" t="s">
        <v>7</v>
      </c>
      <c r="D18" s="8"/>
    </row>
    <row r="19" spans="1:5" ht="15.95" customHeight="1" x14ac:dyDescent="0.25">
      <c r="A19" s="42" t="s">
        <v>16</v>
      </c>
      <c r="B19" s="63">
        <v>29000</v>
      </c>
      <c r="C19" s="39" t="s">
        <v>7</v>
      </c>
    </row>
    <row r="20" spans="1:5" ht="15.95" customHeight="1" x14ac:dyDescent="0.25">
      <c r="A20" s="42" t="s">
        <v>17</v>
      </c>
      <c r="B20" s="40">
        <f>IF(B6&lt;=8,B6/8,IF(B6=9,1.128,IF(B6=10,1.27,IF(B6=11,1.41,IF(B6=14,1.693,IF(B6=18,2.257))))))</f>
        <v>1.1279999999999999</v>
      </c>
      <c r="C20" s="39" t="s">
        <v>2</v>
      </c>
    </row>
    <row r="21" spans="1:5" ht="15.95" customHeight="1" x14ac:dyDescent="0.25">
      <c r="A21" s="42" t="s">
        <v>18</v>
      </c>
      <c r="B21" s="41">
        <f>B20^2*PI()/4</f>
        <v>0.99932805673629865</v>
      </c>
      <c r="C21" s="39" t="s">
        <v>80</v>
      </c>
    </row>
    <row r="22" spans="1:5" ht="15.95" customHeight="1" x14ac:dyDescent="0.25">
      <c r="A22" s="42" t="s">
        <v>19</v>
      </c>
      <c r="B22" s="41">
        <f>B21*B5</f>
        <v>9.9932805673629872</v>
      </c>
      <c r="C22" s="39" t="s">
        <v>80</v>
      </c>
    </row>
    <row r="23" spans="1:5" ht="9" customHeight="1" x14ac:dyDescent="0.25">
      <c r="E23" s="33"/>
    </row>
    <row r="24" spans="1:5" x14ac:dyDescent="0.25">
      <c r="A24" s="65" t="s">
        <v>93</v>
      </c>
      <c r="B24" s="65"/>
      <c r="C24" s="65"/>
      <c r="E24" s="33"/>
    </row>
    <row r="25" spans="1:5" ht="15.75" customHeight="1" x14ac:dyDescent="0.25">
      <c r="A25" s="57" t="s">
        <v>95</v>
      </c>
      <c r="B25" s="58">
        <f>B22/B8</f>
        <v>9.8177777777777777E-3</v>
      </c>
      <c r="E25" s="33"/>
    </row>
    <row r="26" spans="1:5" x14ac:dyDescent="0.25">
      <c r="A26" s="42" t="s">
        <v>94</v>
      </c>
      <c r="B26" s="58">
        <v>0.08</v>
      </c>
      <c r="E26" s="33" t="s">
        <v>10</v>
      </c>
    </row>
    <row r="27" spans="1:5" x14ac:dyDescent="0.25">
      <c r="A27" s="42" t="s">
        <v>97</v>
      </c>
      <c r="B27" s="58">
        <f>MIN(0.015,0.135*B11/B18)</f>
        <v>9.0000000000000011E-3</v>
      </c>
      <c r="E27" s="3" t="s">
        <v>98</v>
      </c>
    </row>
    <row r="28" spans="1:5" x14ac:dyDescent="0.25">
      <c r="A28" s="42" t="s">
        <v>96</v>
      </c>
      <c r="B28" s="59" t="str">
        <f>IF(B5&lt;IF(B2="Circular",6,4),"Too few bars",IF(B25&gt;=B26,"Over reinforced",IF(B25&lt;B27,"Under reinforced","OK")))</f>
        <v>OK</v>
      </c>
    </row>
    <row r="29" spans="1:5" ht="9" customHeight="1" x14ac:dyDescent="0.25">
      <c r="A29" s="42"/>
    </row>
    <row r="30" spans="1:5" hidden="1" x14ac:dyDescent="0.25">
      <c r="A30" s="42"/>
    </row>
    <row r="31" spans="1:5" hidden="1" x14ac:dyDescent="0.25">
      <c r="A31" s="42"/>
    </row>
    <row r="32" spans="1:5" hidden="1" x14ac:dyDescent="0.25"/>
    <row r="33" hidden="1" x14ac:dyDescent="0.25"/>
  </sheetData>
  <sheetProtection sheet="1" objects="1" scenarios="1"/>
  <mergeCells count="5">
    <mergeCell ref="E1:K1"/>
    <mergeCell ref="A10:C10"/>
    <mergeCell ref="A17:C17"/>
    <mergeCell ref="A1:C1"/>
    <mergeCell ref="A24:C24"/>
  </mergeCells>
  <conditionalFormatting sqref="B4">
    <cfRule type="expression" dxfId="1" priority="3">
      <formula>IF(B2="Circular",TRUE,FALSE)</formula>
    </cfRule>
  </conditionalFormatting>
  <conditionalFormatting sqref="B28">
    <cfRule type="cellIs" dxfId="0" priority="2" operator="equal">
      <formula>"OK"</formula>
    </cfRule>
  </conditionalFormatting>
  <dataValidations count="5">
    <dataValidation type="list" allowBlank="1" showInputMessage="1" showErrorMessage="1" sqref="B2">
      <formula1>"Circular,Rectangular"</formula1>
    </dataValidation>
    <dataValidation type="list" allowBlank="1" showInputMessage="1" showErrorMessage="1" sqref="B13">
      <formula1>"Ties,Spirals"</formula1>
    </dataValidation>
    <dataValidation type="decimal" allowBlank="1" showInputMessage="1" showErrorMessage="1" sqref="B11">
      <formula1>0</formula1>
      <formula2>10</formula2>
    </dataValidation>
    <dataValidation type="decimal" allowBlank="1" showInputMessage="1" showErrorMessage="1" sqref="B18">
      <formula1>0</formula1>
      <formula2>100</formula2>
    </dataValidation>
    <dataValidation type="list" allowBlank="1" showInputMessage="1" showErrorMessage="1" sqref="B6">
      <formula1>"5,6,7,8,9,10,11,14,18"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208"/>
  <sheetViews>
    <sheetView workbookViewId="0">
      <selection activeCell="J12" sqref="J12:K17"/>
    </sheetView>
  </sheetViews>
  <sheetFormatPr defaultRowHeight="15" x14ac:dyDescent="0.25"/>
  <sheetData>
    <row r="1" spans="1:21" s="11" customFormat="1" ht="18.75" x14ac:dyDescent="0.3">
      <c r="A1" s="66" t="s">
        <v>20</v>
      </c>
      <c r="B1" s="66"/>
      <c r="C1" s="66"/>
      <c r="D1" s="9" t="s">
        <v>23</v>
      </c>
      <c r="E1" s="66" t="s">
        <v>21</v>
      </c>
      <c r="F1" s="66"/>
      <c r="G1" s="66"/>
      <c r="H1" s="10"/>
      <c r="I1" s="66" t="s">
        <v>22</v>
      </c>
      <c r="J1" s="66"/>
      <c r="K1" s="66"/>
      <c r="L1" s="9"/>
      <c r="M1" s="66" t="s">
        <v>21</v>
      </c>
      <c r="N1" s="66"/>
      <c r="O1" s="66"/>
      <c r="P1" s="10"/>
      <c r="Q1" s="66" t="s">
        <v>24</v>
      </c>
      <c r="R1" s="66"/>
      <c r="S1" s="66"/>
      <c r="U1" s="1" t="s">
        <v>78</v>
      </c>
    </row>
    <row r="2" spans="1:21" s="13" customFormat="1" x14ac:dyDescent="0.25">
      <c r="A2" s="12" t="s">
        <v>25</v>
      </c>
      <c r="B2" s="12" t="s">
        <v>23</v>
      </c>
      <c r="C2" s="12" t="s">
        <v>26</v>
      </c>
      <c r="D2" s="12"/>
      <c r="E2" s="12" t="s">
        <v>4</v>
      </c>
      <c r="F2" s="12" t="s">
        <v>23</v>
      </c>
      <c r="G2" s="12" t="s">
        <v>26</v>
      </c>
      <c r="H2" s="12"/>
      <c r="I2" s="12" t="s">
        <v>25</v>
      </c>
      <c r="J2" s="12" t="s">
        <v>23</v>
      </c>
      <c r="K2" s="12" t="s">
        <v>26</v>
      </c>
      <c r="L2" s="12"/>
      <c r="M2" s="12" t="s">
        <v>4</v>
      </c>
      <c r="N2" s="12" t="s">
        <v>23</v>
      </c>
      <c r="O2" s="12" t="s">
        <v>26</v>
      </c>
      <c r="P2" s="12"/>
      <c r="Q2" s="12" t="s">
        <v>25</v>
      </c>
      <c r="R2" s="12" t="s">
        <v>23</v>
      </c>
      <c r="S2" s="12" t="s">
        <v>26</v>
      </c>
    </row>
    <row r="3" spans="1:21" x14ac:dyDescent="0.25">
      <c r="A3" s="2">
        <v>1</v>
      </c>
      <c r="B3" s="2">
        <f>IF($D$1="X",UserInput!$B$3/2*COS((A3-1)*10*PI()/180),0)</f>
        <v>18</v>
      </c>
      <c r="C3" s="2">
        <f>IF($D$1="X",UserInput!$B$3/2*SIN((A3-1)*10*PI()/180),0)</f>
        <v>0</v>
      </c>
      <c r="D3" s="2"/>
      <c r="E3" s="2">
        <v>1</v>
      </c>
      <c r="F3" s="2">
        <v>4.4609693307967406</v>
      </c>
      <c r="G3" s="2">
        <v>-13.729451869236836</v>
      </c>
      <c r="H3" s="2"/>
      <c r="I3" s="2">
        <v>1</v>
      </c>
      <c r="J3" s="2">
        <v>0</v>
      </c>
      <c r="K3" s="2">
        <v>0</v>
      </c>
      <c r="L3" s="2"/>
      <c r="M3" s="2"/>
      <c r="N3" s="2"/>
      <c r="O3" s="2"/>
      <c r="P3" s="2"/>
      <c r="Q3" s="2">
        <v>1</v>
      </c>
      <c r="R3" s="2">
        <f>IF(U1="Circular",-UserInput!B3/2,UserInput!B4/2-MAX(UserInput!B3:B4)/2)</f>
        <v>-18</v>
      </c>
      <c r="S3" s="2">
        <f>IF(U1="Circular",-UserInput!B3/2,UserInput!B3/2-MAX(UserInput!B3:B4)/2)</f>
        <v>-18</v>
      </c>
    </row>
    <row r="4" spans="1:21" x14ac:dyDescent="0.25">
      <c r="A4" s="2">
        <v>2</v>
      </c>
      <c r="B4" s="2">
        <f>IF($D$1="X",UserInput!$B$3/2*COS((A4-1)*10*PI()/180),0)</f>
        <v>17.726539554219745</v>
      </c>
      <c r="C4" s="2">
        <f>IF($D$1="X",UserInput!$B$3/2*SIN((A4-1)*10*PI()/180),0)</f>
        <v>3.1256671980047459</v>
      </c>
      <c r="D4" s="2"/>
      <c r="E4" s="2">
        <v>2</v>
      </c>
      <c r="F4" s="2">
        <v>11.678969330796741</v>
      </c>
      <c r="G4" s="2">
        <v>-8.4852679020941419</v>
      </c>
      <c r="H4" s="2"/>
      <c r="I4" s="2">
        <v>2</v>
      </c>
      <c r="J4" s="2">
        <f>IF($L$1="X",UserInput!B4,0)</f>
        <v>0</v>
      </c>
      <c r="K4" s="2">
        <v>0</v>
      </c>
      <c r="L4" s="2"/>
      <c r="M4" s="2"/>
      <c r="N4" s="2"/>
      <c r="O4" s="2"/>
      <c r="P4" s="2"/>
      <c r="Q4" s="2">
        <v>2</v>
      </c>
      <c r="R4" s="2">
        <f>IF(U1="Circular",UserInput!B3/2,UserInput!B4-(UserInput!B4/2-MAX(UserInput!B3:B4)/2))</f>
        <v>18</v>
      </c>
      <c r="S4" s="2">
        <f>IF(U1="Circular",UserInput!B3/2,UserInput!B3-(UserInput!B3/2-MAX(UserInput!B3:B4)/2))</f>
        <v>18</v>
      </c>
    </row>
    <row r="5" spans="1:21" x14ac:dyDescent="0.25">
      <c r="A5" s="2">
        <v>3</v>
      </c>
      <c r="B5" s="2">
        <f>IF($D$1="X",UserInput!$B$3/2*COS((A5-1)*10*PI()/180),0)</f>
        <v>16.914467174146353</v>
      </c>
      <c r="C5" s="2">
        <f>IF($D$1="X",UserInput!$B$3/2*SIN((A5-1)*10*PI()/180),0)</f>
        <v>6.1563625798620372</v>
      </c>
      <c r="D5" s="2"/>
      <c r="E5" s="2">
        <v>3</v>
      </c>
      <c r="F5" s="2">
        <v>14.436</v>
      </c>
      <c r="G5" s="2">
        <v>-8.8395005962455958E-16</v>
      </c>
      <c r="H5" s="2"/>
      <c r="I5" s="2">
        <v>3</v>
      </c>
      <c r="J5" s="2">
        <f>J4</f>
        <v>0</v>
      </c>
      <c r="K5" s="2">
        <f>IF(L1="X",UserInput!B3,0)</f>
        <v>0</v>
      </c>
      <c r="L5" s="2"/>
      <c r="M5" s="2"/>
      <c r="N5" s="2"/>
      <c r="O5" s="2"/>
      <c r="P5" s="2"/>
      <c r="Q5" s="2"/>
      <c r="R5" s="2"/>
      <c r="S5" s="2"/>
    </row>
    <row r="6" spans="1:21" x14ac:dyDescent="0.25">
      <c r="A6" s="2">
        <v>4</v>
      </c>
      <c r="B6" s="2">
        <f>IF($D$1="X",UserInput!$B$3/2*COS((A6-1)*10*PI()/180),0)</f>
        <v>15.588457268119896</v>
      </c>
      <c r="C6" s="2">
        <f>IF($D$1="X",UserInput!$B$3/2*SIN((A6-1)*10*PI()/180),0)</f>
        <v>8.9999999999999982</v>
      </c>
      <c r="D6" s="2"/>
      <c r="E6" s="2">
        <v>4</v>
      </c>
      <c r="F6" s="2">
        <v>11.678969330796741</v>
      </c>
      <c r="G6" s="2">
        <v>8.4852679020941402</v>
      </c>
      <c r="H6" s="2"/>
      <c r="I6" s="2">
        <v>4</v>
      </c>
      <c r="J6" s="2">
        <v>0</v>
      </c>
      <c r="K6" s="2">
        <f>K5</f>
        <v>0</v>
      </c>
      <c r="L6" s="2"/>
      <c r="M6" s="2"/>
      <c r="N6" s="2"/>
      <c r="O6" s="2"/>
      <c r="P6" s="2"/>
      <c r="Q6" s="2"/>
      <c r="R6" s="2"/>
      <c r="S6" s="2"/>
    </row>
    <row r="7" spans="1:21" x14ac:dyDescent="0.25">
      <c r="A7" s="2">
        <v>5</v>
      </c>
      <c r="B7" s="2">
        <f>IF($D$1="X",UserInput!$B$3/2*COS((A7-1)*10*PI()/180),0)</f>
        <v>13.788799976141604</v>
      </c>
      <c r="C7" s="2">
        <f>IF($D$1="X",UserInput!$B$3/2*SIN((A7-1)*10*PI()/180),0)</f>
        <v>11.570176974357707</v>
      </c>
      <c r="D7" s="2"/>
      <c r="E7" s="2">
        <v>5</v>
      </c>
      <c r="F7" s="2">
        <v>4.4609693307967424</v>
      </c>
      <c r="G7" s="2">
        <v>13.729451869236836</v>
      </c>
      <c r="H7" s="2"/>
      <c r="I7" s="2">
        <v>5</v>
      </c>
      <c r="J7" s="2">
        <v>0</v>
      </c>
      <c r="K7" s="2">
        <v>0</v>
      </c>
      <c r="L7" s="2"/>
      <c r="M7" s="2"/>
      <c r="N7" s="2"/>
      <c r="O7" s="2"/>
      <c r="P7" s="2"/>
      <c r="Q7" s="2"/>
      <c r="R7" s="2"/>
      <c r="S7" s="2"/>
    </row>
    <row r="8" spans="1:21" x14ac:dyDescent="0.25">
      <c r="A8" s="2">
        <v>6</v>
      </c>
      <c r="B8" s="2">
        <f>IF($D$1="X",UserInput!$B$3/2*COS((A8-1)*10*PI()/180),0)</f>
        <v>11.570176974357709</v>
      </c>
      <c r="C8" s="2">
        <f>IF($D$1="X",UserInput!$B$3/2*SIN((A8-1)*10*PI()/180),0)</f>
        <v>13.788799976141604</v>
      </c>
      <c r="D8" s="2"/>
      <c r="E8" s="2">
        <v>6</v>
      </c>
      <c r="F8" s="2">
        <v>-4.4609693307967389</v>
      </c>
      <c r="G8" s="2">
        <v>13.729451869236838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21" x14ac:dyDescent="0.25">
      <c r="A9" s="2">
        <v>7</v>
      </c>
      <c r="B9" s="2">
        <f>IF($D$1="X",UserInput!$B$3/2*COS((A9-1)*10*PI()/180),0)</f>
        <v>9.0000000000000018</v>
      </c>
      <c r="C9" s="2">
        <f>IF($D$1="X",UserInput!$B$3/2*SIN((A9-1)*10*PI()/180),0)</f>
        <v>15.588457268119894</v>
      </c>
      <c r="D9" s="2"/>
      <c r="E9" s="2">
        <v>7</v>
      </c>
      <c r="F9" s="2">
        <v>-11.67896933079674</v>
      </c>
      <c r="G9" s="2">
        <v>8.4852679020941437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21" x14ac:dyDescent="0.25">
      <c r="A10" s="2">
        <v>8</v>
      </c>
      <c r="B10" s="2">
        <f>IF($D$1="X",UserInput!$B$3/2*COS((A10-1)*10*PI()/180),0)</f>
        <v>6.1563625798620389</v>
      </c>
      <c r="C10" s="2">
        <f>IF($D$1="X",UserInput!$B$3/2*SIN((A10-1)*10*PI()/180),0)</f>
        <v>16.914467174146349</v>
      </c>
      <c r="D10" s="2"/>
      <c r="E10" s="2">
        <v>8</v>
      </c>
      <c r="F10" s="2">
        <v>-14.436</v>
      </c>
      <c r="G10" s="2">
        <v>2.6518501788736785E-15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21" x14ac:dyDescent="0.25">
      <c r="A11" s="2">
        <v>9</v>
      </c>
      <c r="B11" s="2">
        <f>IF($D$1="X",UserInput!$B$3/2*COS((A11-1)*10*PI()/180),0)</f>
        <v>3.1256671980047477</v>
      </c>
      <c r="C11" s="2">
        <f>IF($D$1="X",UserInput!$B$3/2*SIN((A11-1)*10*PI()/180),0)</f>
        <v>17.726539554219745</v>
      </c>
      <c r="D11" s="2"/>
      <c r="E11" s="2">
        <v>9</v>
      </c>
      <c r="F11" s="2">
        <v>-11.678969330796743</v>
      </c>
      <c r="G11" s="2">
        <v>-8.4852679020941384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21" x14ac:dyDescent="0.25">
      <c r="A12" s="2">
        <v>10</v>
      </c>
      <c r="B12" s="2">
        <f>IF($D$1="X",UserInput!$B$3/2*COS((A12-1)*10*PI()/180),0)</f>
        <v>1.102633609417758E-15</v>
      </c>
      <c r="C12" s="2">
        <f>IF($D$1="X",UserInput!$B$3/2*SIN((A12-1)*10*PI()/180),0)</f>
        <v>18</v>
      </c>
      <c r="D12" s="2"/>
      <c r="E12" s="2">
        <v>10</v>
      </c>
      <c r="F12" s="2">
        <v>-4.4609693307967442</v>
      </c>
      <c r="G12" s="2">
        <v>-13.729451869236836</v>
      </c>
      <c r="H12" s="2"/>
      <c r="I12" s="2"/>
      <c r="L12" s="2"/>
      <c r="M12" s="2"/>
      <c r="N12" s="2"/>
      <c r="O12" s="2"/>
      <c r="P12" s="2"/>
      <c r="Q12" s="2"/>
      <c r="R12" s="2"/>
      <c r="S12" s="2"/>
    </row>
    <row r="13" spans="1:21" x14ac:dyDescent="0.25">
      <c r="A13" s="2">
        <v>11</v>
      </c>
      <c r="B13" s="2">
        <f>IF($D$1="X",UserInput!$B$3/2*COS((A13-1)*10*PI()/180),0)</f>
        <v>-3.1256671980047455</v>
      </c>
      <c r="C13" s="2">
        <f>IF($D$1="X",UserInput!$B$3/2*SIN((A13-1)*10*PI()/180),0)</f>
        <v>17.726539554219745</v>
      </c>
      <c r="D13" s="2"/>
      <c r="E13" s="2"/>
      <c r="F13" s="2"/>
      <c r="G13" s="2"/>
      <c r="H13" s="2"/>
      <c r="I13" s="2"/>
      <c r="L13" s="2"/>
      <c r="M13" s="2"/>
      <c r="N13" s="2"/>
      <c r="O13" s="2"/>
      <c r="P13" s="2"/>
      <c r="Q13" s="2"/>
      <c r="R13" s="2"/>
      <c r="S13" s="2"/>
    </row>
    <row r="14" spans="1:21" x14ac:dyDescent="0.25">
      <c r="A14" s="2">
        <v>12</v>
      </c>
      <c r="B14" s="2">
        <f>IF($D$1="X",UserInput!$B$3/2*COS((A14-1)*10*PI()/180),0)</f>
        <v>-6.1563625798620372</v>
      </c>
      <c r="C14" s="2">
        <f>IF($D$1="X",UserInput!$B$3/2*SIN((A14-1)*10*PI()/180),0)</f>
        <v>16.914467174146353</v>
      </c>
      <c r="D14" s="2"/>
      <c r="E14" s="2"/>
      <c r="F14" s="2"/>
      <c r="G14" s="2"/>
      <c r="H14" s="2"/>
      <c r="I14" s="2"/>
      <c r="L14" s="2"/>
      <c r="M14" s="2"/>
      <c r="N14" s="2"/>
      <c r="O14" s="2"/>
      <c r="P14" s="2"/>
      <c r="Q14" s="2"/>
      <c r="R14" s="2"/>
      <c r="S14" s="2"/>
    </row>
    <row r="15" spans="1:21" x14ac:dyDescent="0.25">
      <c r="A15" s="2">
        <v>13</v>
      </c>
      <c r="B15" s="2">
        <f>IF($D$1="X",UserInput!$B$3/2*COS((A15-1)*10*PI()/180),0)</f>
        <v>-8.9999999999999964</v>
      </c>
      <c r="C15" s="2">
        <f>IF($D$1="X",UserInput!$B$3/2*SIN((A15-1)*10*PI()/180),0)</f>
        <v>15.588457268119896</v>
      </c>
      <c r="D15" s="2"/>
      <c r="E15" s="2"/>
      <c r="F15" s="2"/>
      <c r="G15" s="2"/>
      <c r="H15" s="2"/>
      <c r="I15" s="2"/>
      <c r="L15" s="2"/>
      <c r="M15" s="2"/>
      <c r="N15" s="2"/>
      <c r="O15" s="2"/>
      <c r="P15" s="2"/>
      <c r="Q15" s="2"/>
      <c r="R15" s="2"/>
      <c r="S15" s="2"/>
    </row>
    <row r="16" spans="1:21" x14ac:dyDescent="0.25">
      <c r="A16" s="2">
        <v>14</v>
      </c>
      <c r="B16" s="2">
        <f>IF($D$1="X",UserInput!$B$3/2*COS((A16-1)*10*PI()/180),0)</f>
        <v>-11.570176974357709</v>
      </c>
      <c r="C16" s="2">
        <f>IF($D$1="X",UserInput!$B$3/2*SIN((A16-1)*10*PI()/180),0)</f>
        <v>13.788799976141604</v>
      </c>
      <c r="D16" s="2"/>
      <c r="E16" s="2"/>
      <c r="F16" s="2"/>
      <c r="G16" s="2"/>
      <c r="H16" s="2"/>
      <c r="I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s="2">
        <v>15</v>
      </c>
      <c r="B17" s="2">
        <f>IF($D$1="X",UserInput!$B$3/2*COS((A17-1)*10*PI()/180),0)</f>
        <v>-13.788799976141602</v>
      </c>
      <c r="C17" s="2">
        <f>IF($D$1="X",UserInput!$B$3/2*SIN((A17-1)*10*PI()/180),0)</f>
        <v>11.570176974357711</v>
      </c>
      <c r="D17" s="2"/>
      <c r="E17" s="2"/>
      <c r="F17" s="2"/>
      <c r="G17" s="2"/>
      <c r="H17" s="2"/>
      <c r="I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A18" s="2">
        <v>16</v>
      </c>
      <c r="B18" s="2">
        <f>IF($D$1="X",UserInput!$B$3/2*COS((A18-1)*10*PI()/180),0)</f>
        <v>-15.588457268119896</v>
      </c>
      <c r="C18" s="2">
        <f>IF($D$1="X",UserInput!$B$3/2*SIN((A18-1)*10*PI()/180),0)</f>
        <v>8.9999999999999982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25">
      <c r="A19" s="2">
        <v>17</v>
      </c>
      <c r="B19" s="2">
        <f>IF($D$1="X",UserInput!$B$3/2*COS((A19-1)*10*PI()/180),0)</f>
        <v>-16.914467174146349</v>
      </c>
      <c r="C19" s="2">
        <f>IF($D$1="X",UserInput!$B$3/2*SIN((A19-1)*10*PI()/180),0)</f>
        <v>6.1563625798620398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25">
      <c r="A20" s="2">
        <v>18</v>
      </c>
      <c r="B20" s="2">
        <f>IF($D$1="X",UserInput!$B$3/2*COS((A20-1)*10*PI()/180),0)</f>
        <v>-17.726539554219745</v>
      </c>
      <c r="C20" s="2">
        <f>IF($D$1="X",UserInput!$B$3/2*SIN((A20-1)*10*PI()/180),0)</f>
        <v>3.125667198004745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25">
      <c r="A21" s="2">
        <v>19</v>
      </c>
      <c r="B21" s="2">
        <f>IF($D$1="X",UserInput!$B$3/2*COS((A21-1)*10*PI()/180),0)</f>
        <v>-18</v>
      </c>
      <c r="C21" s="2">
        <f>IF($D$1="X",UserInput!$B$3/2*SIN((A21-1)*10*PI()/180),0)</f>
        <v>2.205267218835516E-15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25">
      <c r="A22" s="2">
        <v>20</v>
      </c>
      <c r="B22" s="2">
        <f>IF($D$1="X",UserInput!$B$3/2*COS((A22-1)*10*PI()/180),0)</f>
        <v>-17.726539554219745</v>
      </c>
      <c r="C22" s="2">
        <f>IF($D$1="X",UserInput!$B$3/2*SIN((A22-1)*10*PI()/180),0)</f>
        <v>-3.1256671980047486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25">
      <c r="A23" s="2">
        <v>21</v>
      </c>
      <c r="B23" s="2">
        <f>IF($D$1="X",UserInput!$B$3/2*COS((A23-1)*10*PI()/180),0)</f>
        <v>-16.914467174146353</v>
      </c>
      <c r="C23" s="2">
        <f>IF($D$1="X",UserInput!$B$3/2*SIN((A23-1)*10*PI()/180),0)</f>
        <v>-6.1563625798620354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25">
      <c r="A24" s="2">
        <v>22</v>
      </c>
      <c r="B24" s="2">
        <f>IF($D$1="X",UserInput!$B$3/2*COS((A24-1)*10*PI()/180),0)</f>
        <v>-15.588457268119894</v>
      </c>
      <c r="C24" s="2">
        <f>IF($D$1="X",UserInput!$B$3/2*SIN((A24-1)*10*PI()/180),0)</f>
        <v>-9.0000000000000018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25">
      <c r="A25" s="2">
        <v>23</v>
      </c>
      <c r="B25" s="2">
        <f>IF($D$1="X",UserInput!$B$3/2*COS((A25-1)*10*PI()/180),0)</f>
        <v>-13.788799976141604</v>
      </c>
      <c r="C25" s="2">
        <f>IF($D$1="X",UserInput!$B$3/2*SIN((A25-1)*10*PI()/180),0)</f>
        <v>-11.570176974357707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25">
      <c r="A26" s="2">
        <v>24</v>
      </c>
      <c r="B26" s="2">
        <f>IF($D$1="X",UserInput!$B$3/2*COS((A26-1)*10*PI()/180),0)</f>
        <v>-11.570176974357711</v>
      </c>
      <c r="C26" s="2">
        <f>IF($D$1="X",UserInput!$B$3/2*SIN((A26-1)*10*PI()/180),0)</f>
        <v>-13.788799976141602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25">
      <c r="A27" s="2">
        <v>25</v>
      </c>
      <c r="B27" s="2">
        <f>IF($D$1="X",UserInput!$B$3/2*COS((A27-1)*10*PI()/180),0)</f>
        <v>-9.0000000000000071</v>
      </c>
      <c r="C27" s="2">
        <f>IF($D$1="X",UserInput!$B$3/2*SIN((A27-1)*10*PI()/180),0)</f>
        <v>-15.588457268119891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25">
      <c r="A28" s="2">
        <v>26</v>
      </c>
      <c r="B28" s="2">
        <f>IF($D$1="X",UserInput!$B$3/2*COS((A28-1)*10*PI()/180),0)</f>
        <v>-6.1563625798620487</v>
      </c>
      <c r="C28" s="2">
        <f>IF($D$1="X",UserInput!$B$3/2*SIN((A28-1)*10*PI()/180),0)</f>
        <v>-16.914467174146349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25">
      <c r="A29" s="2">
        <v>27</v>
      </c>
      <c r="B29" s="2">
        <f>IF($D$1="X",UserInput!$B$3/2*COS((A29-1)*10*PI()/180),0)</f>
        <v>-3.1256671980047459</v>
      </c>
      <c r="C29" s="2">
        <f>IF($D$1="X",UserInput!$B$3/2*SIN((A29-1)*10*PI()/180),0)</f>
        <v>-17.726539554219745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25">
      <c r="A30" s="2">
        <v>28</v>
      </c>
      <c r="B30" s="2">
        <f>IF($D$1="X",UserInput!$B$3/2*COS((A30-1)*10*PI()/180),0)</f>
        <v>-3.307900828253274E-15</v>
      </c>
      <c r="C30" s="2">
        <f>IF($D$1="X",UserInput!$B$3/2*SIN((A30-1)*10*PI()/180),0)</f>
        <v>-18</v>
      </c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25">
      <c r="A31" s="2">
        <v>29</v>
      </c>
      <c r="B31" s="2">
        <f>IF($D$1="X",UserInput!$B$3/2*COS((A31-1)*10*PI()/180),0)</f>
        <v>3.1256671980047397</v>
      </c>
      <c r="C31" s="2">
        <f>IF($D$1="X",UserInput!$B$3/2*SIN((A31-1)*10*PI()/180),0)</f>
        <v>-17.726539554219748</v>
      </c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25">
      <c r="A32" s="2">
        <v>30</v>
      </c>
      <c r="B32" s="2">
        <f>IF($D$1="X",UserInput!$B$3/2*COS((A32-1)*10*PI()/180),0)</f>
        <v>6.1563625798620265</v>
      </c>
      <c r="C32" s="2">
        <f>IF($D$1="X",UserInput!$B$3/2*SIN((A32-1)*10*PI()/180),0)</f>
        <v>-16.914467174146353</v>
      </c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25">
      <c r="A33" s="2">
        <v>31</v>
      </c>
      <c r="B33" s="2">
        <f>IF($D$1="X",UserInput!$B$3/2*COS((A33-1)*10*PI()/180),0)</f>
        <v>9.0000000000000018</v>
      </c>
      <c r="C33" s="2">
        <f>IF($D$1="X",UserInput!$B$3/2*SIN((A33-1)*10*PI()/180),0)</f>
        <v>-15.588457268119894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25">
      <c r="A34" s="2">
        <v>32</v>
      </c>
      <c r="B34" s="2">
        <f>IF($D$1="X",UserInput!$B$3/2*COS((A34-1)*10*PI()/180),0)</f>
        <v>11.570176974357707</v>
      </c>
      <c r="C34" s="2">
        <f>IF($D$1="X",UserInput!$B$3/2*SIN((A34-1)*10*PI()/180),0)</f>
        <v>-13.788799976141606</v>
      </c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25">
      <c r="A35" s="2">
        <v>33</v>
      </c>
      <c r="B35" s="2">
        <f>IF($D$1="X",UserInput!$B$3/2*COS((A35-1)*10*PI()/180),0)</f>
        <v>13.7887999761416</v>
      </c>
      <c r="C35" s="2">
        <f>IF($D$1="X",UserInput!$B$3/2*SIN((A35-1)*10*PI()/180),0)</f>
        <v>-11.570176974357713</v>
      </c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25">
      <c r="A36" s="2">
        <v>34</v>
      </c>
      <c r="B36" s="2">
        <f>IF($D$1="X",UserInput!$B$3/2*COS((A36-1)*10*PI()/180),0)</f>
        <v>15.588457268119891</v>
      </c>
      <c r="C36" s="2">
        <f>IF($D$1="X",UserInput!$B$3/2*SIN((A36-1)*10*PI()/180),0)</f>
        <v>-9.0000000000000071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25">
      <c r="A37" s="2">
        <v>35</v>
      </c>
      <c r="B37" s="2">
        <f>IF($D$1="X",UserInput!$B$3/2*COS((A37-1)*10*PI()/180),0)</f>
        <v>16.914467174146353</v>
      </c>
      <c r="C37" s="2">
        <f>IF($D$1="X",UserInput!$B$3/2*SIN((A37-1)*10*PI()/180),0)</f>
        <v>-6.1563625798620345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25">
      <c r="A38" s="2">
        <v>36</v>
      </c>
      <c r="B38" s="2">
        <f>IF($D$1="X",UserInput!$B$3/2*COS((A38-1)*10*PI()/180),0)</f>
        <v>17.726539554219741</v>
      </c>
      <c r="C38" s="2">
        <f>IF($D$1="X",UserInput!$B$3/2*SIN((A38-1)*10*PI()/180),0)</f>
        <v>-3.1256671980047628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25">
      <c r="A39" s="2">
        <v>37</v>
      </c>
      <c r="B39" s="2">
        <f>IF($D$1="X",UserInput!$B$3/2*COS((A39-1)*10*PI()/180),0)</f>
        <v>18</v>
      </c>
      <c r="C39" s="2">
        <f>IF($D$1="X",UserInput!$B$3/2*SIN((A39-1)*10*PI()/180),0)</f>
        <v>-4.410534437671032E-15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1:19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</row>
    <row r="49" spans="1:19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1:1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1:1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1:19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</row>
    <row r="55" spans="1:1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1:1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1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</row>
    <row r="59" spans="1:19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</row>
    <row r="60" spans="1:1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</row>
    <row r="61" spans="1:1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</row>
    <row r="62" spans="1:1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1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1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1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1:1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</row>
    <row r="67" spans="1:1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</row>
    <row r="68" spans="1:1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</row>
    <row r="69" spans="1:1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</row>
    <row r="70" spans="1:1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</row>
    <row r="71" spans="1:1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</row>
    <row r="72" spans="1:1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</row>
    <row r="73" spans="1:1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</row>
    <row r="74" spans="1:1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</row>
    <row r="75" spans="1:1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</row>
    <row r="76" spans="1:1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</row>
    <row r="77" spans="1:1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</row>
    <row r="78" spans="1:1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</row>
    <row r="79" spans="1:1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</row>
    <row r="80" spans="1:1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</row>
    <row r="81" spans="1:1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</row>
    <row r="82" spans="1:1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</row>
    <row r="83" spans="1:1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</row>
    <row r="84" spans="1:1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</row>
    <row r="85" spans="1:1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</row>
    <row r="86" spans="1:1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</row>
    <row r="87" spans="1:1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</row>
    <row r="88" spans="1:1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</row>
    <row r="89" spans="1:1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</row>
    <row r="90" spans="1:1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</row>
    <row r="91" spans="1:1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</row>
    <row r="92" spans="1:1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</row>
    <row r="93" spans="1:1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</row>
    <row r="94" spans="1:1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</row>
    <row r="95" spans="1:1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</row>
    <row r="96" spans="1:1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</row>
    <row r="97" spans="1:1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</row>
    <row r="98" spans="1:1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</row>
    <row r="99" spans="1:1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</row>
    <row r="100" spans="1:1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</row>
    <row r="101" spans="1:1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</row>
    <row r="102" spans="1:1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</row>
    <row r="103" spans="1:1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</row>
    <row r="104" spans="1:1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</row>
    <row r="105" spans="1:1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</row>
    <row r="106" spans="1:1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</row>
    <row r="107" spans="1:1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</row>
    <row r="108" spans="1:1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</row>
    <row r="109" spans="1:1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</row>
    <row r="110" spans="1:1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</row>
    <row r="111" spans="1:1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</row>
    <row r="112" spans="1:1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</row>
    <row r="113" spans="1:1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</row>
    <row r="114" spans="1:1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</row>
    <row r="115" spans="1:1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</row>
    <row r="116" spans="1:1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</row>
    <row r="117" spans="1:1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1:1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1:1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1:1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1:1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1:1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1:1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1:1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1:1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1:1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1:1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1:1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1:1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1:1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1:1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1:1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1:1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1:1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1:1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1:1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1:1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1:1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1:1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1:19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1:19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1:19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1:19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1:19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1:19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1:19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1:19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1:19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1:19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1:19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1:19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1:19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1:19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1:19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1:19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1:19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1:19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1:19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1:19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1:19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1:19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1:19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1:19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1:19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1:19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1:19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1:19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1:19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1:19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1:19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1:19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1:19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1:19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1:19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1:19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1:19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1:19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1:19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1:19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1:19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1:19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1:19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1:19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1:19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1:19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1:19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1:19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1:19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1:19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1:19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</row>
    <row r="202" spans="1:19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1:19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1:19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1:19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1:19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1:19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1:19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</sheetData>
  <mergeCells count="5">
    <mergeCell ref="A1:C1"/>
    <mergeCell ref="E1:G1"/>
    <mergeCell ref="I1:K1"/>
    <mergeCell ref="M1:O1"/>
    <mergeCell ref="Q1:S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63"/>
  <sheetViews>
    <sheetView topLeftCell="A37" workbookViewId="0">
      <selection activeCell="I35" sqref="I35:R47"/>
    </sheetView>
  </sheetViews>
  <sheetFormatPr defaultRowHeight="15" x14ac:dyDescent="0.25"/>
  <cols>
    <col min="24" max="24" width="11.28515625" bestFit="1" customWidth="1"/>
  </cols>
  <sheetData>
    <row r="1" spans="1:22" x14ac:dyDescent="0.25">
      <c r="A1" s="13" t="s">
        <v>46</v>
      </c>
      <c r="B1" s="27" t="s">
        <v>79</v>
      </c>
      <c r="C1">
        <f>UserInput!B3/2-MIN(Coordinates!G3:G103)</f>
        <v>31.729451869236836</v>
      </c>
      <c r="E1" t="s">
        <v>47</v>
      </c>
    </row>
    <row r="2" spans="1:22" x14ac:dyDescent="0.25">
      <c r="A2" t="s">
        <v>48</v>
      </c>
      <c r="B2" t="s">
        <v>49</v>
      </c>
      <c r="C2" t="s">
        <v>50</v>
      </c>
      <c r="D2" t="s">
        <v>51</v>
      </c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</row>
    <row r="3" spans="1:22" x14ac:dyDescent="0.25">
      <c r="A3" t="s">
        <v>52</v>
      </c>
      <c r="B3" t="s">
        <v>45</v>
      </c>
      <c r="C3">
        <f>-UserInput!$B$12</f>
        <v>-3.0000000000000001E-3</v>
      </c>
      <c r="D3">
        <v>-3.0000000000000001E-3</v>
      </c>
      <c r="E3">
        <v>-3.0000000000000001E-3</v>
      </c>
      <c r="F3">
        <v>-3.0000000000000001E-3</v>
      </c>
      <c r="G3">
        <v>-3.0000000000000001E-3</v>
      </c>
      <c r="H3">
        <v>-3.0000000000000001E-3</v>
      </c>
      <c r="I3">
        <v>-3.0000000000000001E-3</v>
      </c>
      <c r="J3">
        <v>-3.0000000000000001E-3</v>
      </c>
      <c r="K3">
        <v>-3.0000000000000001E-3</v>
      </c>
      <c r="L3">
        <v>-3.0000000000000001E-3</v>
      </c>
      <c r="M3">
        <v>-3.0000000000000001E-3</v>
      </c>
      <c r="N3">
        <v>-3.0000000000000001E-3</v>
      </c>
    </row>
    <row r="4" spans="1:22" x14ac:dyDescent="0.25">
      <c r="A4" s="27" t="s">
        <v>53</v>
      </c>
      <c r="B4" s="28">
        <f>$C$1*(-C4/(D4-C4))</f>
        <v>31.729451869236836</v>
      </c>
      <c r="C4">
        <f>-UserInput!$B$12</f>
        <v>-3.0000000000000001E-3</v>
      </c>
      <c r="D4">
        <v>0</v>
      </c>
      <c r="E4">
        <v>0</v>
      </c>
      <c r="F4">
        <v>-4.9583434237266224E-4</v>
      </c>
      <c r="G4">
        <v>-1.298111161121082E-3</v>
      </c>
      <c r="H4">
        <v>-2.1003879798695015E-3</v>
      </c>
      <c r="I4">
        <v>-2.596222322242164E-3</v>
      </c>
      <c r="J4">
        <v>-2.596222322242164E-3</v>
      </c>
      <c r="K4">
        <v>-2.1003879798695019E-3</v>
      </c>
      <c r="L4">
        <v>-1.298111161121082E-3</v>
      </c>
      <c r="M4">
        <v>-4.9583434237266257E-4</v>
      </c>
      <c r="N4">
        <v>0</v>
      </c>
    </row>
    <row r="5" spans="1:22" x14ac:dyDescent="0.25">
      <c r="A5" s="29">
        <v>0.25</v>
      </c>
      <c r="B5" s="28">
        <f t="shared" ref="B5:B14" si="0">$C$1*(-C5/(D5-C5))</f>
        <v>27.063356006113775</v>
      </c>
      <c r="C5">
        <f>-UserInput!$B$12</f>
        <v>-3.0000000000000001E-3</v>
      </c>
      <c r="D5">
        <f>A5*UserInput!$B$18/UserInput!$B$19</f>
        <v>5.1724137931034484E-4</v>
      </c>
      <c r="E5">
        <v>5.1724137931034452E-4</v>
      </c>
      <c r="F5">
        <v>-6.4081642781742165E-5</v>
      </c>
      <c r="G5">
        <v>-1.0046820509695444E-3</v>
      </c>
      <c r="H5">
        <v>-1.9452824591573465E-3</v>
      </c>
      <c r="I5">
        <v>-2.5266054812494334E-3</v>
      </c>
      <c r="J5">
        <v>-2.5266054812494334E-3</v>
      </c>
      <c r="K5">
        <v>-1.9452824591573469E-3</v>
      </c>
      <c r="L5">
        <v>-1.0046820509695446E-3</v>
      </c>
      <c r="M5">
        <v>-6.4081642781742558E-5</v>
      </c>
      <c r="N5">
        <v>5.1724137931034452E-4</v>
      </c>
    </row>
    <row r="6" spans="1:22" x14ac:dyDescent="0.25">
      <c r="A6" s="29">
        <f>A5+0.25</f>
        <v>0.5</v>
      </c>
      <c r="B6" s="28">
        <f t="shared" si="0"/>
        <v>23.59369497968893</v>
      </c>
      <c r="C6">
        <f>-UserInput!$B$12</f>
        <v>-3.0000000000000001E-3</v>
      </c>
      <c r="D6">
        <f>A6*UserInput!$B$18/UserInput!$B$19</f>
        <v>1.0344827586206897E-3</v>
      </c>
      <c r="E6">
        <v>1.0344827586206895E-3</v>
      </c>
      <c r="F6">
        <v>3.6767105680917832E-4</v>
      </c>
      <c r="G6">
        <v>-7.112529408180064E-4</v>
      </c>
      <c r="H6">
        <v>-1.7901769384451912E-3</v>
      </c>
      <c r="I6">
        <v>-2.4569886402567025E-3</v>
      </c>
      <c r="J6">
        <v>-2.4569886402567025E-3</v>
      </c>
      <c r="K6">
        <v>-1.7901769384451917E-3</v>
      </c>
      <c r="L6">
        <v>-7.1125294081800683E-4</v>
      </c>
      <c r="M6">
        <v>3.6767105680917788E-4</v>
      </c>
      <c r="N6">
        <v>1.0344827586206895E-3</v>
      </c>
    </row>
    <row r="7" spans="1:22" x14ac:dyDescent="0.25">
      <c r="A7" s="29">
        <f>A6+0.25</f>
        <v>0.75</v>
      </c>
      <c r="B7" s="28">
        <f t="shared" si="0"/>
        <v>20.912593277451549</v>
      </c>
      <c r="C7">
        <f>-UserInput!$B$12</f>
        <v>-3.0000000000000001E-3</v>
      </c>
      <c r="D7">
        <f>A7*UserInput!$B$18/UserInput!$B$19</f>
        <v>1.5517241379310344E-3</v>
      </c>
      <c r="E7">
        <v>1.5517241379310349E-3</v>
      </c>
      <c r="F7">
        <v>7.9942375640009919E-4</v>
      </c>
      <c r="G7">
        <v>-4.1782383066646855E-4</v>
      </c>
      <c r="H7">
        <v>-1.6350714177330362E-3</v>
      </c>
      <c r="I7">
        <v>-2.3873717992639724E-3</v>
      </c>
      <c r="J7">
        <v>-2.3873717992639728E-3</v>
      </c>
      <c r="K7">
        <v>-1.6350714177330366E-3</v>
      </c>
      <c r="L7">
        <v>-4.1782383066646904E-4</v>
      </c>
      <c r="M7">
        <v>7.9942375640009865E-4</v>
      </c>
      <c r="N7">
        <v>1.5517241379310349E-3</v>
      </c>
    </row>
    <row r="8" spans="1:22" x14ac:dyDescent="0.25">
      <c r="A8" s="30">
        <f>A7+0.25</f>
        <v>1</v>
      </c>
      <c r="B8" s="28">
        <f t="shared" si="0"/>
        <v>18.778655187915678</v>
      </c>
      <c r="C8">
        <f>-UserInput!$B$12</f>
        <v>-3.0000000000000001E-3</v>
      </c>
      <c r="D8">
        <f>A8*UserInput!$B$18/UserInput!$B$19</f>
        <v>2.0689655172413794E-3</v>
      </c>
      <c r="E8">
        <v>2.0689655172413794E-3</v>
      </c>
      <c r="F8">
        <v>1.2311764559910193E-3</v>
      </c>
      <c r="G8">
        <v>-1.2439472051493111E-4</v>
      </c>
      <c r="H8">
        <v>-1.4799658970208814E-3</v>
      </c>
      <c r="I8">
        <v>-2.3177549582712419E-3</v>
      </c>
      <c r="J8">
        <v>-2.3177549582712423E-3</v>
      </c>
      <c r="K8">
        <v>-1.479965897020882E-3</v>
      </c>
      <c r="L8">
        <v>-1.2439472051493168E-4</v>
      </c>
      <c r="M8">
        <v>1.2311764559910187E-3</v>
      </c>
      <c r="N8">
        <v>2.0689655172413794E-3</v>
      </c>
    </row>
    <row r="9" spans="1:22" x14ac:dyDescent="0.25">
      <c r="A9" s="30">
        <f>A8+1</f>
        <v>2</v>
      </c>
      <c r="B9" s="28">
        <f t="shared" si="0"/>
        <v>13.335566727650264</v>
      </c>
      <c r="C9">
        <f>-UserInput!$B$12</f>
        <v>-3.0000000000000001E-3</v>
      </c>
      <c r="D9">
        <f>A9*UserInput!$B$18/UserInput!$B$19</f>
        <v>4.1379310344827587E-3</v>
      </c>
      <c r="E9">
        <v>4.1379310344827587E-3</v>
      </c>
      <c r="F9">
        <v>2.9581872543547006E-3</v>
      </c>
      <c r="G9">
        <v>1.0493217200912197E-3</v>
      </c>
      <c r="H9">
        <v>-8.5954381417226145E-4</v>
      </c>
      <c r="I9">
        <v>-2.0392875943003202E-3</v>
      </c>
      <c r="J9">
        <v>-2.0392875943003206E-3</v>
      </c>
      <c r="K9">
        <v>-8.5954381417226232E-4</v>
      </c>
      <c r="L9">
        <v>1.0493217200912188E-3</v>
      </c>
      <c r="M9">
        <v>2.9581872543546998E-3</v>
      </c>
      <c r="N9">
        <v>4.1379310344827587E-3</v>
      </c>
    </row>
    <row r="10" spans="1:22" x14ac:dyDescent="0.25">
      <c r="A10" s="30">
        <f>A9+1</f>
        <v>3</v>
      </c>
      <c r="B10" s="28">
        <f t="shared" si="0"/>
        <v>10.338810159638969</v>
      </c>
      <c r="C10">
        <f>-UserInput!$B$12</f>
        <v>-3.0000000000000001E-3</v>
      </c>
      <c r="D10">
        <f>A10*UserInput!$B$18/UserInput!$B$19</f>
        <v>6.2068965517241377E-3</v>
      </c>
      <c r="E10">
        <v>6.2068965517241368E-3</v>
      </c>
      <c r="F10">
        <v>4.6851980527183815E-3</v>
      </c>
      <c r="G10">
        <v>2.2230381606973696E-3</v>
      </c>
      <c r="H10">
        <v>-2.3912173132364183E-4</v>
      </c>
      <c r="I10">
        <v>-1.7608202303293985E-3</v>
      </c>
      <c r="J10">
        <v>-1.7608202303293992E-3</v>
      </c>
      <c r="K10">
        <v>-2.3912173132364286E-4</v>
      </c>
      <c r="L10">
        <v>2.2230381606973687E-3</v>
      </c>
      <c r="M10">
        <v>4.6851980527183807E-3</v>
      </c>
      <c r="N10">
        <v>6.2068965517241368E-3</v>
      </c>
      <c r="T10" s="28"/>
    </row>
    <row r="11" spans="1:22" x14ac:dyDescent="0.25">
      <c r="A11" s="30">
        <f>A10+1</f>
        <v>4</v>
      </c>
      <c r="B11" s="28">
        <f t="shared" si="0"/>
        <v>8.4417807725492491</v>
      </c>
      <c r="C11">
        <f>-UserInput!$B$12</f>
        <v>-3.0000000000000001E-3</v>
      </c>
      <c r="D11">
        <f>A11*UserInput!$B$18/UserInput!$B$19</f>
        <v>8.2758620689655175E-3</v>
      </c>
      <c r="E11">
        <v>8.2758620689655192E-3</v>
      </c>
      <c r="F11">
        <v>6.4122088510820642E-3</v>
      </c>
      <c r="G11">
        <v>3.396754601303521E-3</v>
      </c>
      <c r="H11">
        <v>3.8130035152497839E-4</v>
      </c>
      <c r="I11">
        <v>-1.4823528663584769E-3</v>
      </c>
      <c r="J11">
        <v>-1.4823528663584775E-3</v>
      </c>
      <c r="K11">
        <v>3.8130035152497715E-4</v>
      </c>
      <c r="L11">
        <v>3.3967546013035201E-3</v>
      </c>
      <c r="M11">
        <v>6.4122088510820624E-3</v>
      </c>
      <c r="N11">
        <v>8.2758620689655192E-3</v>
      </c>
      <c r="U11" s="48"/>
      <c r="V11" s="48"/>
    </row>
    <row r="12" spans="1:22" x14ac:dyDescent="0.25">
      <c r="A12" s="30">
        <f>A11+2</f>
        <v>6</v>
      </c>
      <c r="B12" s="28">
        <f t="shared" si="0"/>
        <v>6.1755309007239481</v>
      </c>
      <c r="C12">
        <f>-UserInput!$B$12</f>
        <v>-3.0000000000000001E-3</v>
      </c>
      <c r="D12">
        <f>A12*UserInput!$B$18/UserInput!$B$19</f>
        <v>1.2413793103448275E-2</v>
      </c>
      <c r="E12">
        <v>1.2413793103448275E-2</v>
      </c>
      <c r="F12">
        <v>9.8662304478094251E-3</v>
      </c>
      <c r="G12">
        <v>5.7441874825158203E-3</v>
      </c>
      <c r="H12">
        <v>1.6221445172222172E-3</v>
      </c>
      <c r="I12">
        <v>-9.2541813841663417E-4</v>
      </c>
      <c r="J12">
        <v>-9.2541813841663504E-4</v>
      </c>
      <c r="K12">
        <v>1.6221445172222154E-3</v>
      </c>
      <c r="L12">
        <v>5.7441874825158194E-3</v>
      </c>
      <c r="M12">
        <v>9.8662304478094216E-3</v>
      </c>
      <c r="N12">
        <v>1.2413793103448275E-2</v>
      </c>
      <c r="T12" s="43"/>
      <c r="U12" s="44"/>
      <c r="V12" s="48"/>
    </row>
    <row r="13" spans="1:22" x14ac:dyDescent="0.25">
      <c r="A13" s="30">
        <f>A12+2</f>
        <v>8</v>
      </c>
      <c r="B13" s="28">
        <f t="shared" si="0"/>
        <v>4.8685402339040653</v>
      </c>
      <c r="C13">
        <f>-UserInput!$B$12</f>
        <v>-3.0000000000000001E-3</v>
      </c>
      <c r="D13">
        <f>A13*UserInput!$B$18/UserInput!$B$19</f>
        <v>1.6551724137931035E-2</v>
      </c>
      <c r="E13">
        <v>1.6551724137931031E-2</v>
      </c>
      <c r="F13">
        <v>1.3320252044536785E-2</v>
      </c>
      <c r="G13">
        <v>8.0916203637281196E-3</v>
      </c>
      <c r="H13">
        <v>2.8629886829194566E-3</v>
      </c>
      <c r="I13">
        <v>-3.6848341047479062E-4</v>
      </c>
      <c r="J13">
        <v>-3.6848341047479171E-4</v>
      </c>
      <c r="K13">
        <v>2.8629886829194544E-3</v>
      </c>
      <c r="L13">
        <v>8.0916203637281196E-3</v>
      </c>
      <c r="M13">
        <v>1.3320252044536783E-2</v>
      </c>
      <c r="N13">
        <v>1.6551724137931031E-2</v>
      </c>
      <c r="U13" s="43"/>
      <c r="V13" s="49"/>
    </row>
    <row r="14" spans="1:22" x14ac:dyDescent="0.25">
      <c r="A14" s="30">
        <f>A13+2</f>
        <v>10</v>
      </c>
      <c r="B14" s="28">
        <f t="shared" si="0"/>
        <v>4.0181401930474605</v>
      </c>
      <c r="C14">
        <f>-UserInput!$B$12</f>
        <v>-3.0000000000000001E-3</v>
      </c>
      <c r="D14">
        <f>A14*UserInput!$B$18/UserInput!$B$19</f>
        <v>2.0689655172413793E-2</v>
      </c>
      <c r="E14">
        <v>2.0689655172413793E-2</v>
      </c>
      <c r="F14">
        <v>1.6774273641264149E-2</v>
      </c>
      <c r="G14">
        <v>1.0439053244940422E-2</v>
      </c>
      <c r="H14">
        <v>4.103832848616696E-3</v>
      </c>
      <c r="I14">
        <v>1.8845131746705158E-4</v>
      </c>
      <c r="J14">
        <v>1.8845131746705025E-4</v>
      </c>
      <c r="K14">
        <v>4.1038328486166925E-3</v>
      </c>
      <c r="L14">
        <v>1.0439053244940421E-2</v>
      </c>
      <c r="M14">
        <v>1.6774273641264149E-2</v>
      </c>
      <c r="N14">
        <v>2.0689655172413793E-2</v>
      </c>
      <c r="U14" s="35"/>
      <c r="V14" s="48"/>
    </row>
    <row r="15" spans="1:22" x14ac:dyDescent="0.25">
      <c r="A15" t="s">
        <v>54</v>
      </c>
      <c r="B15" t="s">
        <v>45</v>
      </c>
      <c r="C15">
        <f>-UserInput!$B$12</f>
        <v>-3.0000000000000001E-3</v>
      </c>
      <c r="D15">
        <v>2.0689655172413794E-3</v>
      </c>
      <c r="E15">
        <v>2.0689655172413794E-3</v>
      </c>
      <c r="F15">
        <v>2.0689655172413794E-3</v>
      </c>
      <c r="G15">
        <v>2.0689655172413794E-3</v>
      </c>
      <c r="H15">
        <v>2.0689655172413794E-3</v>
      </c>
      <c r="I15">
        <v>2.0689655172413794E-3</v>
      </c>
      <c r="J15">
        <v>2.0689655172413794E-3</v>
      </c>
      <c r="K15">
        <v>2.0689655172413794E-3</v>
      </c>
      <c r="L15">
        <v>2.0689655172413794E-3</v>
      </c>
      <c r="M15">
        <v>2.0689655172413794E-3</v>
      </c>
      <c r="N15">
        <v>2.0689655172413794E-3</v>
      </c>
      <c r="U15" s="43"/>
      <c r="V15" s="49"/>
    </row>
    <row r="16" spans="1:22" x14ac:dyDescent="0.25">
      <c r="T16" s="43"/>
      <c r="U16" s="44"/>
      <c r="V16" s="48"/>
    </row>
    <row r="17" spans="1:23" x14ac:dyDescent="0.25">
      <c r="A17" s="13" t="s">
        <v>55</v>
      </c>
      <c r="U17" s="48"/>
      <c r="V17" s="48"/>
    </row>
    <row r="18" spans="1:23" x14ac:dyDescent="0.25">
      <c r="A18" t="s">
        <v>28</v>
      </c>
      <c r="B18" t="s">
        <v>49</v>
      </c>
      <c r="C18" t="s">
        <v>56</v>
      </c>
      <c r="D18" t="s">
        <v>57</v>
      </c>
      <c r="E18">
        <v>1</v>
      </c>
      <c r="F18">
        <v>2</v>
      </c>
      <c r="G18">
        <v>3</v>
      </c>
      <c r="H18">
        <v>4</v>
      </c>
      <c r="I18">
        <v>5</v>
      </c>
      <c r="J18">
        <v>6</v>
      </c>
      <c r="K18">
        <v>7</v>
      </c>
      <c r="L18">
        <v>8</v>
      </c>
      <c r="M18">
        <v>9</v>
      </c>
      <c r="N18">
        <v>10</v>
      </c>
      <c r="S18" s="2"/>
    </row>
    <row r="19" spans="1:23" x14ac:dyDescent="0.25">
      <c r="A19">
        <v>1</v>
      </c>
      <c r="B19" t="s">
        <v>45</v>
      </c>
      <c r="C19">
        <f>0.85*UserInput!$B$11</f>
        <v>3.4</v>
      </c>
      <c r="D19">
        <f>IF(D3&lt;-UserInput!$B$18/UserInput!$B$19,-UserInput!$B$18,IF(D3&gt;UserInput!$B$18/UserInput!$B$19,UserInput!$B$18,'Calculations Circular'!D3*UserInput!$B$19))</f>
        <v>-60</v>
      </c>
      <c r="E19">
        <f>IF(E3&lt;-UserInput!$B$18/UserInput!$B$19,-UserInput!$B$18,IF(E3&gt;UserInput!$B$18/UserInput!$B$19,UserInput!$B$18,'Calculations Circular'!E3*UserInput!$B$19))</f>
        <v>-60</v>
      </c>
      <c r="F19">
        <f>IF(F3&lt;-UserInput!$B$18/UserInput!$B$19,-UserInput!$B$18,IF(F3&gt;UserInput!$B$18/UserInput!$B$19,UserInput!$B$18,'Calculations Circular'!F3*UserInput!$B$19))</f>
        <v>-60</v>
      </c>
      <c r="G19">
        <f>IF(G3&lt;-UserInput!$B$18/UserInput!$B$19,-UserInput!$B$18,IF(G3&gt;UserInput!$B$18/UserInput!$B$19,UserInput!$B$18,'Calculations Circular'!G3*UserInput!$B$19))</f>
        <v>-60</v>
      </c>
      <c r="H19">
        <f>IF(H3&lt;-UserInput!$B$18/UserInput!$B$19,-UserInput!$B$18,IF(H3&gt;UserInput!$B$18/UserInput!$B$19,UserInput!$B$18,'Calculations Circular'!H3*UserInput!$B$19))</f>
        <v>-60</v>
      </c>
      <c r="I19">
        <f>IF(I3&lt;-UserInput!$B$18/UserInput!$B$19,-UserInput!$B$18,IF(I3&gt;UserInput!$B$18/UserInput!$B$19,UserInput!$B$18,'Calculations Circular'!I3*UserInput!$B$19))</f>
        <v>-60</v>
      </c>
      <c r="J19">
        <f>IF(J3&lt;-UserInput!$B$18/UserInput!$B$19,-UserInput!$B$18,IF(J3&gt;UserInput!$B$18/UserInput!$B$19,UserInput!$B$18,'Calculations Circular'!J3*UserInput!$B$19))</f>
        <v>-60</v>
      </c>
      <c r="K19">
        <f>IF(K3&lt;-UserInput!$B$18/UserInput!$B$19,-UserInput!$B$18,IF(K3&gt;UserInput!$B$18/UserInput!$B$19,UserInput!$B$18,'Calculations Circular'!K3*UserInput!$B$19))</f>
        <v>-60</v>
      </c>
      <c r="L19">
        <f>IF(L3&lt;-UserInput!$B$18/UserInput!$B$19,-UserInput!$B$18,IF(L3&gt;UserInput!$B$18/UserInput!$B$19,UserInput!$B$18,'Calculations Circular'!L3*UserInput!$B$19))</f>
        <v>-60</v>
      </c>
      <c r="M19">
        <f>IF(M3&lt;-UserInput!$B$18/UserInput!$B$19,-UserInput!$B$18,IF(M3&gt;UserInput!$B$18/UserInput!$B$19,UserInput!$B$18,'Calculations Circular'!M3*UserInput!$B$19))</f>
        <v>-60</v>
      </c>
      <c r="N19">
        <f>IF(N3&lt;-UserInput!$B$18/UserInput!$B$19,-UserInput!$B$18,IF(N3&gt;UserInput!$B$18/UserInput!$B$19,UserInput!$B$18,'Calculations Circular'!N3*UserInput!$B$19))</f>
        <v>-60</v>
      </c>
      <c r="S19" s="2"/>
      <c r="V19" s="45"/>
      <c r="W19" s="43"/>
    </row>
    <row r="20" spans="1:23" x14ac:dyDescent="0.25">
      <c r="A20">
        <f t="shared" ref="A20:A31" si="1">A19+1</f>
        <v>2</v>
      </c>
      <c r="B20" s="28">
        <f t="shared" ref="B20:B31" si="2">B4</f>
        <v>31.729451869236836</v>
      </c>
      <c r="C20">
        <f>$C$19</f>
        <v>3.4</v>
      </c>
      <c r="D20">
        <f>IF(D4&lt;-UserInput!$B$18/UserInput!$B$19,-UserInput!$B$18,IF(D4&gt;UserInput!$B$18/UserInput!$B$19,UserInput!$B$18,'Calculations Circular'!D4*UserInput!$B$19))</f>
        <v>0</v>
      </c>
      <c r="E20">
        <f>IF(E4&lt;-UserInput!$B$18/UserInput!$B$19,-UserInput!$B$18,IF(E4&gt;UserInput!$B$18/UserInput!$B$19,UserInput!$B$18,'Calculations Circular'!E4*UserInput!$B$19))</f>
        <v>0</v>
      </c>
      <c r="F20">
        <f>IF(F4&lt;-UserInput!$B$18/UserInput!$B$19,-UserInput!$B$18,IF(F4&gt;UserInput!$B$18/UserInput!$B$19,UserInput!$B$18,'Calculations Circular'!F4*UserInput!$B$19))</f>
        <v>-14.379195928807205</v>
      </c>
      <c r="G20">
        <f>IF(G4&lt;-UserInput!$B$18/UserInput!$B$19,-UserInput!$B$18,IF(G4&gt;UserInput!$B$18/UserInput!$B$19,UserInput!$B$18,'Calculations Circular'!G4*UserInput!$B$19))</f>
        <v>-37.645223672511378</v>
      </c>
      <c r="H20">
        <f>IF(H4&lt;-UserInput!$B$18/UserInput!$B$19,-UserInput!$B$18,IF(H4&gt;UserInput!$B$18/UserInput!$B$19,UserInput!$B$18,'Calculations Circular'!H4*UserInput!$B$19))</f>
        <v>-60</v>
      </c>
      <c r="I20">
        <f>IF(I4&lt;-UserInput!$B$18/UserInput!$B$19,-UserInput!$B$18,IF(I4&gt;UserInput!$B$18/UserInput!$B$19,UserInput!$B$18,'Calculations Circular'!I4*UserInput!$B$19))</f>
        <v>-60</v>
      </c>
      <c r="J20">
        <f>IF(J4&lt;-UserInput!$B$18/UserInput!$B$19,-UserInput!$B$18,IF(J4&gt;UserInput!$B$18/UserInput!$B$19,UserInput!$B$18,'Calculations Circular'!J4*UserInput!$B$19))</f>
        <v>-60</v>
      </c>
      <c r="K20">
        <f>IF(K4&lt;-UserInput!$B$18/UserInput!$B$19,-UserInput!$B$18,IF(K4&gt;UserInput!$B$18/UserInput!$B$19,UserInput!$B$18,'Calculations Circular'!K4*UserInput!$B$19))</f>
        <v>-60</v>
      </c>
      <c r="L20">
        <f>IF(L4&lt;-UserInput!$B$18/UserInput!$B$19,-UserInput!$B$18,IF(L4&gt;UserInput!$B$18/UserInput!$B$19,UserInput!$B$18,'Calculations Circular'!L4*UserInput!$B$19))</f>
        <v>-37.645223672511378</v>
      </c>
      <c r="M20">
        <f>IF(M4&lt;-UserInput!$B$18/UserInput!$B$19,-UserInput!$B$18,IF(M4&gt;UserInput!$B$18/UserInput!$B$19,UserInput!$B$18,'Calculations Circular'!M4*UserInput!$B$19))</f>
        <v>-14.379195928807214</v>
      </c>
      <c r="N20">
        <f>IF(N4&lt;-UserInput!$B$18/UserInput!$B$19,-UserInput!$B$18,IF(N4&gt;UserInput!$B$18/UserInput!$B$19,UserInput!$B$18,'Calculations Circular'!N4*UserInput!$B$19))</f>
        <v>0</v>
      </c>
      <c r="S20" s="2"/>
      <c r="V20" s="45"/>
      <c r="W20" s="47"/>
    </row>
    <row r="21" spans="1:23" x14ac:dyDescent="0.25">
      <c r="A21">
        <f t="shared" si="1"/>
        <v>3</v>
      </c>
      <c r="B21" s="28">
        <f t="shared" si="2"/>
        <v>27.063356006113775</v>
      </c>
      <c r="C21">
        <f t="shared" ref="C21:C31" si="3">$C$19</f>
        <v>3.4</v>
      </c>
      <c r="D21">
        <f>IF(D5&lt;-UserInput!$B$18/UserInput!$B$19,-UserInput!$B$18,IF(D5&gt;UserInput!$B$18/UserInput!$B$19,UserInput!$B$18,'Calculations Circular'!D5*UserInput!$B$19))</f>
        <v>15</v>
      </c>
      <c r="E21">
        <f>IF(E5&lt;-UserInput!$B$18/UserInput!$B$19,-UserInput!$B$18,IF(E5&gt;UserInput!$B$18/UserInput!$B$19,UserInput!$B$18,'Calculations Circular'!E5*UserInput!$B$19))</f>
        <v>14.999999999999991</v>
      </c>
      <c r="F21">
        <f>IF(F5&lt;-UserInput!$B$18/UserInput!$B$19,-UserInput!$B$18,IF(F5&gt;UserInput!$B$18/UserInput!$B$19,UserInput!$B$18,'Calculations Circular'!F5*UserInput!$B$19))</f>
        <v>-1.8583676406705227</v>
      </c>
      <c r="G21">
        <f>IF(G5&lt;-UserInput!$B$18/UserInput!$B$19,-UserInput!$B$18,IF(G5&gt;UserInput!$B$18/UserInput!$B$19,UserInput!$B$18,'Calculations Circular'!G5*UserInput!$B$19))</f>
        <v>-29.135779478116785</v>
      </c>
      <c r="H21">
        <f>IF(H5&lt;-UserInput!$B$18/UserInput!$B$19,-UserInput!$B$18,IF(H5&gt;UserInput!$B$18/UserInput!$B$19,UserInput!$B$18,'Calculations Circular'!H5*UserInput!$B$19))</f>
        <v>-56.413191315563047</v>
      </c>
      <c r="I21">
        <f>IF(I5&lt;-UserInput!$B$18/UserInput!$B$19,-UserInput!$B$18,IF(I5&gt;UserInput!$B$18/UserInput!$B$19,UserInput!$B$18,'Calculations Circular'!I5*UserInput!$B$19))</f>
        <v>-60</v>
      </c>
      <c r="J21">
        <f>IF(J5&lt;-UserInput!$B$18/UserInput!$B$19,-UserInput!$B$18,IF(J5&gt;UserInput!$B$18/UserInput!$B$19,UserInput!$B$18,'Calculations Circular'!J5*UserInput!$B$19))</f>
        <v>-60</v>
      </c>
      <c r="K21">
        <f>IF(K5&lt;-UserInput!$B$18/UserInput!$B$19,-UserInput!$B$18,IF(K5&gt;UserInput!$B$18/UserInput!$B$19,UserInput!$B$18,'Calculations Circular'!K5*UserInput!$B$19))</f>
        <v>-56.413191315563061</v>
      </c>
      <c r="L21">
        <f>IF(L5&lt;-UserInput!$B$18/UserInput!$B$19,-UserInput!$B$18,IF(L5&gt;UserInput!$B$18/UserInput!$B$19,UserInput!$B$18,'Calculations Circular'!L5*UserInput!$B$19))</f>
        <v>-29.135779478116792</v>
      </c>
      <c r="M21">
        <f>IF(M5&lt;-UserInput!$B$18/UserInput!$B$19,-UserInput!$B$18,IF(M5&gt;UserInput!$B$18/UserInput!$B$19,UserInput!$B$18,'Calculations Circular'!M5*UserInput!$B$19))</f>
        <v>-1.8583676406705343</v>
      </c>
      <c r="N21">
        <f>IF(N5&lt;-UserInput!$B$18/UserInput!$B$19,-UserInput!$B$18,IF(N5&gt;UserInput!$B$18/UserInput!$B$19,UserInput!$B$18,'Calculations Circular'!N5*UserInput!$B$19))</f>
        <v>14.999999999999991</v>
      </c>
      <c r="S21" s="2"/>
      <c r="V21" s="45"/>
      <c r="W21" s="46"/>
    </row>
    <row r="22" spans="1:23" x14ac:dyDescent="0.25">
      <c r="A22">
        <f t="shared" si="1"/>
        <v>4</v>
      </c>
      <c r="B22" s="28">
        <f t="shared" si="2"/>
        <v>23.59369497968893</v>
      </c>
      <c r="C22">
        <f t="shared" si="3"/>
        <v>3.4</v>
      </c>
      <c r="D22">
        <f>IF(D6&lt;-UserInput!$B$18/UserInput!$B$19,-UserInput!$B$18,IF(D6&gt;UserInput!$B$18/UserInput!$B$19,UserInput!$B$18,'Calculations Circular'!D6*UserInput!$B$19))</f>
        <v>30</v>
      </c>
      <c r="E22">
        <f>IF(E6&lt;-UserInput!$B$18/UserInput!$B$19,-UserInput!$B$18,IF(E6&gt;UserInput!$B$18/UserInput!$B$19,UserInput!$B$18,'Calculations Circular'!E6*UserInput!$B$19))</f>
        <v>29.999999999999993</v>
      </c>
      <c r="F22">
        <f>IF(F6&lt;-UserInput!$B$18/UserInput!$B$19,-UserInput!$B$18,IF(F6&gt;UserInput!$B$18/UserInput!$B$19,UserInput!$B$18,'Calculations Circular'!F6*UserInput!$B$19))</f>
        <v>10.662460647466171</v>
      </c>
      <c r="G22">
        <f>IF(G6&lt;-UserInput!$B$18/UserInput!$B$19,-UserInput!$B$18,IF(G6&gt;UserInput!$B$18/UserInput!$B$19,UserInput!$B$18,'Calculations Circular'!G6*UserInput!$B$19))</f>
        <v>-20.626335283722184</v>
      </c>
      <c r="H22">
        <f>IF(H6&lt;-UserInput!$B$18/UserInput!$B$19,-UserInput!$B$18,IF(H6&gt;UserInput!$B$18/UserInput!$B$19,UserInput!$B$18,'Calculations Circular'!H6*UserInput!$B$19))</f>
        <v>-51.915131214910545</v>
      </c>
      <c r="I22">
        <f>IF(I6&lt;-UserInput!$B$18/UserInput!$B$19,-UserInput!$B$18,IF(I6&gt;UserInput!$B$18/UserInput!$B$19,UserInput!$B$18,'Calculations Circular'!I6*UserInput!$B$19))</f>
        <v>-60</v>
      </c>
      <c r="J22">
        <f>IF(J6&lt;-UserInput!$B$18/UserInput!$B$19,-UserInput!$B$18,IF(J6&gt;UserInput!$B$18/UserInput!$B$19,UserInput!$B$18,'Calculations Circular'!J6*UserInput!$B$19))</f>
        <v>-60</v>
      </c>
      <c r="K22">
        <f>IF(K6&lt;-UserInput!$B$18/UserInput!$B$19,-UserInput!$B$18,IF(K6&gt;UserInput!$B$18/UserInput!$B$19,UserInput!$B$18,'Calculations Circular'!K6*UserInput!$B$19))</f>
        <v>-51.915131214910559</v>
      </c>
      <c r="L22">
        <f>IF(L6&lt;-UserInput!$B$18/UserInput!$B$19,-UserInput!$B$18,IF(L6&gt;UserInput!$B$18/UserInput!$B$19,UserInput!$B$18,'Calculations Circular'!L6*UserInput!$B$19))</f>
        <v>-20.626335283722199</v>
      </c>
      <c r="M22">
        <f>IF(M6&lt;-UserInput!$B$18/UserInput!$B$19,-UserInput!$B$18,IF(M6&gt;UserInput!$B$18/UserInput!$B$19,UserInput!$B$18,'Calculations Circular'!M6*UserInput!$B$19))</f>
        <v>10.662460647466158</v>
      </c>
      <c r="N22">
        <f>IF(N6&lt;-UserInput!$B$18/UserInput!$B$19,-UserInput!$B$18,IF(N6&gt;UserInput!$B$18/UserInput!$B$19,UserInput!$B$18,'Calculations Circular'!N6*UserInput!$B$19))</f>
        <v>29.999999999999993</v>
      </c>
      <c r="S22" s="2"/>
      <c r="V22" s="45"/>
      <c r="W22" s="47"/>
    </row>
    <row r="23" spans="1:23" x14ac:dyDescent="0.25">
      <c r="A23">
        <f t="shared" si="1"/>
        <v>5</v>
      </c>
      <c r="B23" s="28">
        <f t="shared" si="2"/>
        <v>20.912593277451549</v>
      </c>
      <c r="C23">
        <f t="shared" si="3"/>
        <v>3.4</v>
      </c>
      <c r="D23">
        <f>IF(D7&lt;-UserInput!$B$18/UserInput!$B$19,-UserInput!$B$18,IF(D7&gt;UserInput!$B$18/UserInput!$B$19,UserInput!$B$18,'Calculations Circular'!D7*UserInput!$B$19))</f>
        <v>45</v>
      </c>
      <c r="E23">
        <f>IF(E7&lt;-UserInput!$B$18/UserInput!$B$19,-UserInput!$B$18,IF(E7&gt;UserInput!$B$18/UserInput!$B$19,UserInput!$B$18,'Calculations Circular'!E7*UserInput!$B$19))</f>
        <v>45.000000000000014</v>
      </c>
      <c r="F23">
        <f>IF(F7&lt;-UserInput!$B$18/UserInput!$B$19,-UserInput!$B$18,IF(F7&gt;UserInput!$B$18/UserInput!$B$19,UserInput!$B$18,'Calculations Circular'!F7*UserInput!$B$19))</f>
        <v>23.183288935602878</v>
      </c>
      <c r="G23">
        <f>IF(G7&lt;-UserInput!$B$18/UserInput!$B$19,-UserInput!$B$18,IF(G7&gt;UserInput!$B$18/UserInput!$B$19,UserInput!$B$18,'Calculations Circular'!G7*UserInput!$B$19))</f>
        <v>-12.116891089327588</v>
      </c>
      <c r="H23">
        <f>IF(H7&lt;-UserInput!$B$18/UserInput!$B$19,-UserInput!$B$18,IF(H7&gt;UserInput!$B$18/UserInput!$B$19,UserInput!$B$18,'Calculations Circular'!H7*UserInput!$B$19))</f>
        <v>-47.41707111425805</v>
      </c>
      <c r="I23">
        <f>IF(I7&lt;-UserInput!$B$18/UserInput!$B$19,-UserInput!$B$18,IF(I7&gt;UserInput!$B$18/UserInput!$B$19,UserInput!$B$18,'Calculations Circular'!I7*UserInput!$B$19))</f>
        <v>-60</v>
      </c>
      <c r="J23">
        <f>IF(J7&lt;-UserInput!$B$18/UserInput!$B$19,-UserInput!$B$18,IF(J7&gt;UserInput!$B$18/UserInput!$B$19,UserInput!$B$18,'Calculations Circular'!J7*UserInput!$B$19))</f>
        <v>-60</v>
      </c>
      <c r="K23">
        <f>IF(K7&lt;-UserInput!$B$18/UserInput!$B$19,-UserInput!$B$18,IF(K7&gt;UserInput!$B$18/UserInput!$B$19,UserInput!$B$18,'Calculations Circular'!K7*UserInput!$B$19))</f>
        <v>-47.417071114258064</v>
      </c>
      <c r="L23">
        <f>IF(L7&lt;-UserInput!$B$18/UserInput!$B$19,-UserInput!$B$18,IF(L7&gt;UserInput!$B$18/UserInput!$B$19,UserInput!$B$18,'Calculations Circular'!L7*UserInput!$B$19))</f>
        <v>-12.116891089327602</v>
      </c>
      <c r="M23">
        <f>IF(M7&lt;-UserInput!$B$18/UserInput!$B$19,-UserInput!$B$18,IF(M7&gt;UserInput!$B$18/UserInput!$B$19,UserInput!$B$18,'Calculations Circular'!M7*UserInput!$B$19))</f>
        <v>23.18328893560286</v>
      </c>
      <c r="N23">
        <f>IF(N7&lt;-UserInput!$B$18/UserInput!$B$19,-UserInput!$B$18,IF(N7&gt;UserInput!$B$18/UserInput!$B$19,UserInput!$B$18,'Calculations Circular'!N7*UserInput!$B$19))</f>
        <v>45.000000000000014</v>
      </c>
      <c r="S23" s="2"/>
      <c r="V23" s="45"/>
      <c r="W23" s="43"/>
    </row>
    <row r="24" spans="1:23" x14ac:dyDescent="0.25">
      <c r="A24">
        <f t="shared" si="1"/>
        <v>6</v>
      </c>
      <c r="B24" s="28">
        <f t="shared" si="2"/>
        <v>18.778655187915678</v>
      </c>
      <c r="C24">
        <f t="shared" si="3"/>
        <v>3.4</v>
      </c>
      <c r="D24">
        <f>IF(D8&lt;-UserInput!$B$18/UserInput!$B$19,-UserInput!$B$18,IF(D8&gt;UserInput!$B$18/UserInput!$B$19,UserInput!$B$18,'Calculations Circular'!D8*UserInput!$B$19))</f>
        <v>60</v>
      </c>
      <c r="E24">
        <f>IF(E8&lt;-UserInput!$B$18/UserInput!$B$19,-UserInput!$B$18,IF(E8&gt;UserInput!$B$18/UserInput!$B$19,UserInput!$B$18,'Calculations Circular'!E8*UserInput!$B$19))</f>
        <v>60</v>
      </c>
      <c r="F24">
        <f>IF(F8&lt;-UserInput!$B$18/UserInput!$B$19,-UserInput!$B$18,IF(F8&gt;UserInput!$B$18/UserInput!$B$19,UserInput!$B$18,'Calculations Circular'!F8*UserInput!$B$19))</f>
        <v>35.704117223739559</v>
      </c>
      <c r="G24">
        <f>IF(G8&lt;-UserInput!$B$18/UserInput!$B$19,-UserInput!$B$18,IF(G8&gt;UserInput!$B$18/UserInput!$B$19,UserInput!$B$18,'Calculations Circular'!G8*UserInput!$B$19))</f>
        <v>-3.6074468949330023</v>
      </c>
      <c r="H24">
        <f>IF(H8&lt;-UserInput!$B$18/UserInput!$B$19,-UserInput!$B$18,IF(H8&gt;UserInput!$B$18/UserInput!$B$19,UserInput!$B$18,'Calculations Circular'!H8*UserInput!$B$19))</f>
        <v>-42.919011013605562</v>
      </c>
      <c r="I24">
        <f>IF(I8&lt;-UserInput!$B$18/UserInput!$B$19,-UserInput!$B$18,IF(I8&gt;UserInput!$B$18/UserInput!$B$19,UserInput!$B$18,'Calculations Circular'!I8*UserInput!$B$19))</f>
        <v>-60</v>
      </c>
      <c r="J24">
        <f>IF(J8&lt;-UserInput!$B$18/UserInput!$B$19,-UserInput!$B$18,IF(J8&gt;UserInput!$B$18/UserInput!$B$19,UserInput!$B$18,'Calculations Circular'!J8*UserInput!$B$19))</f>
        <v>-60</v>
      </c>
      <c r="K24">
        <f>IF(K8&lt;-UserInput!$B$18/UserInput!$B$19,-UserInput!$B$18,IF(K8&gt;UserInput!$B$18/UserInput!$B$19,UserInput!$B$18,'Calculations Circular'!K8*UserInput!$B$19))</f>
        <v>-42.919011013605576</v>
      </c>
      <c r="L24">
        <f>IF(L8&lt;-UserInput!$B$18/UserInput!$B$19,-UserInput!$B$18,IF(L8&gt;UserInput!$B$18/UserInput!$B$19,UserInput!$B$18,'Calculations Circular'!L8*UserInput!$B$19))</f>
        <v>-3.6074468949330187</v>
      </c>
      <c r="M24">
        <f>IF(M8&lt;-UserInput!$B$18/UserInput!$B$19,-UserInput!$B$18,IF(M8&gt;UserInput!$B$18/UserInput!$B$19,UserInput!$B$18,'Calculations Circular'!M8*UserInput!$B$19))</f>
        <v>35.704117223739544</v>
      </c>
      <c r="N24">
        <f>IF(N8&lt;-UserInput!$B$18/UserInput!$B$19,-UserInput!$B$18,IF(N8&gt;UserInput!$B$18/UserInput!$B$19,UserInput!$B$18,'Calculations Circular'!N8*UserInput!$B$19))</f>
        <v>60</v>
      </c>
    </row>
    <row r="25" spans="1:23" x14ac:dyDescent="0.25">
      <c r="A25">
        <f t="shared" si="1"/>
        <v>7</v>
      </c>
      <c r="B25" s="28">
        <f t="shared" si="2"/>
        <v>13.335566727650264</v>
      </c>
      <c r="C25">
        <f t="shared" si="3"/>
        <v>3.4</v>
      </c>
      <c r="D25">
        <f>IF(D9&lt;-UserInput!$B$18/UserInput!$B$19,-UserInput!$B$18,IF(D9&gt;UserInput!$B$18/UserInput!$B$19,UserInput!$B$18,'Calculations Circular'!D9*UserInput!$B$19))</f>
        <v>60</v>
      </c>
      <c r="E25">
        <f>IF(E9&lt;-UserInput!$B$18/UserInput!$B$19,-UserInput!$B$18,IF(E9&gt;UserInput!$B$18/UserInput!$B$19,UserInput!$B$18,'Calculations Circular'!E9*UserInput!$B$19))</f>
        <v>60</v>
      </c>
      <c r="F25">
        <f>IF(F9&lt;-UserInput!$B$18/UserInput!$B$19,-UserInput!$B$18,IF(F9&gt;UserInput!$B$18/UserInput!$B$19,UserInput!$B$18,'Calculations Circular'!F9*UserInput!$B$19))</f>
        <v>60</v>
      </c>
      <c r="G25">
        <f>IF(G9&lt;-UserInput!$B$18/UserInput!$B$19,-UserInput!$B$18,IF(G9&gt;UserInput!$B$18/UserInput!$B$19,UserInput!$B$18,'Calculations Circular'!G9*UserInput!$B$19))</f>
        <v>30.430329882645371</v>
      </c>
      <c r="H25">
        <f>IF(H9&lt;-UserInput!$B$18/UserInput!$B$19,-UserInput!$B$18,IF(H9&gt;UserInput!$B$18/UserInput!$B$19,UserInput!$B$18,'Calculations Circular'!H9*UserInput!$B$19))</f>
        <v>-24.926770610995582</v>
      </c>
      <c r="I25">
        <f>IF(I9&lt;-UserInput!$B$18/UserInput!$B$19,-UserInput!$B$18,IF(I9&gt;UserInput!$B$18/UserInput!$B$19,UserInput!$B$18,'Calculations Circular'!I9*UserInput!$B$19))</f>
        <v>-59.139340234709287</v>
      </c>
      <c r="J25">
        <f>IF(J9&lt;-UserInput!$B$18/UserInput!$B$19,-UserInput!$B$18,IF(J9&gt;UserInput!$B$18/UserInput!$B$19,UserInput!$B$18,'Calculations Circular'!J9*UserInput!$B$19))</f>
        <v>-59.139340234709302</v>
      </c>
      <c r="K25">
        <f>IF(K9&lt;-UserInput!$B$18/UserInput!$B$19,-UserInput!$B$18,IF(K9&gt;UserInput!$B$18/UserInput!$B$19,UserInput!$B$18,'Calculations Circular'!K9*UserInput!$B$19))</f>
        <v>-24.926770610995607</v>
      </c>
      <c r="L25">
        <f>IF(L9&lt;-UserInput!$B$18/UserInput!$B$19,-UserInput!$B$18,IF(L9&gt;UserInput!$B$18/UserInput!$B$19,UserInput!$B$18,'Calculations Circular'!L9*UserInput!$B$19))</f>
        <v>30.430329882645346</v>
      </c>
      <c r="M25">
        <f>IF(M9&lt;-UserInput!$B$18/UserInput!$B$19,-UserInput!$B$18,IF(M9&gt;UserInput!$B$18/UserInput!$B$19,UserInput!$B$18,'Calculations Circular'!M9*UserInput!$B$19))</f>
        <v>60</v>
      </c>
      <c r="N25">
        <f>IF(N9&lt;-UserInput!$B$18/UserInput!$B$19,-UserInput!$B$18,IF(N9&gt;UserInput!$B$18/UserInput!$B$19,UserInput!$B$18,'Calculations Circular'!N9*UserInput!$B$19))</f>
        <v>60</v>
      </c>
    </row>
    <row r="26" spans="1:23" x14ac:dyDescent="0.25">
      <c r="A26">
        <f t="shared" si="1"/>
        <v>8</v>
      </c>
      <c r="B26" s="28">
        <f t="shared" si="2"/>
        <v>10.338810159638969</v>
      </c>
      <c r="C26">
        <f t="shared" si="3"/>
        <v>3.4</v>
      </c>
      <c r="D26">
        <f>IF(D10&lt;-UserInput!$B$18/UserInput!$B$19,-UserInput!$B$18,IF(D10&gt;UserInput!$B$18/UserInput!$B$19,UserInput!$B$18,'Calculations Circular'!D10*UserInput!$B$19))</f>
        <v>60</v>
      </c>
      <c r="E26">
        <f>IF(E10&lt;-UserInput!$B$18/UserInput!$B$19,-UserInput!$B$18,IF(E10&gt;UserInput!$B$18/UserInput!$B$19,UserInput!$B$18,'Calculations Circular'!E10*UserInput!$B$19))</f>
        <v>60</v>
      </c>
      <c r="F26">
        <f>IF(F10&lt;-UserInput!$B$18/UserInput!$B$19,-UserInput!$B$18,IF(F10&gt;UserInput!$B$18/UserInput!$B$19,UserInput!$B$18,'Calculations Circular'!F10*UserInput!$B$19))</f>
        <v>60</v>
      </c>
      <c r="G26">
        <f>IF(G10&lt;-UserInput!$B$18/UserInput!$B$19,-UserInput!$B$18,IF(G10&gt;UserInput!$B$18/UserInput!$B$19,UserInput!$B$18,'Calculations Circular'!G10*UserInput!$B$19))</f>
        <v>60</v>
      </c>
      <c r="H26">
        <f>IF(H10&lt;-UserInput!$B$18/UserInput!$B$19,-UserInput!$B$18,IF(H10&gt;UserInput!$B$18/UserInput!$B$19,UserInput!$B$18,'Calculations Circular'!H10*UserInput!$B$19))</f>
        <v>-6.9345302083856133</v>
      </c>
      <c r="I26">
        <f>IF(I10&lt;-UserInput!$B$18/UserInput!$B$19,-UserInput!$B$18,IF(I10&gt;UserInput!$B$18/UserInput!$B$19,UserInput!$B$18,'Calculations Circular'!I10*UserInput!$B$19))</f>
        <v>-51.063786679552557</v>
      </c>
      <c r="J26">
        <f>IF(J10&lt;-UserInput!$B$18/UserInput!$B$19,-UserInput!$B$18,IF(J10&gt;UserInput!$B$18/UserInput!$B$19,UserInput!$B$18,'Calculations Circular'!J10*UserInput!$B$19))</f>
        <v>-51.063786679552578</v>
      </c>
      <c r="K26">
        <f>IF(K10&lt;-UserInput!$B$18/UserInput!$B$19,-UserInput!$B$18,IF(K10&gt;UserInput!$B$18/UserInput!$B$19,UserInput!$B$18,'Calculations Circular'!K10*UserInput!$B$19))</f>
        <v>-6.9345302083856426</v>
      </c>
      <c r="L26">
        <f>IF(L10&lt;-UserInput!$B$18/UserInput!$B$19,-UserInput!$B$18,IF(L10&gt;UserInput!$B$18/UserInput!$B$19,UserInput!$B$18,'Calculations Circular'!L10*UserInput!$B$19))</f>
        <v>60</v>
      </c>
      <c r="M26">
        <f>IF(M10&lt;-UserInput!$B$18/UserInput!$B$19,-UserInput!$B$18,IF(M10&gt;UserInput!$B$18/UserInput!$B$19,UserInput!$B$18,'Calculations Circular'!M10*UserInput!$B$19))</f>
        <v>60</v>
      </c>
      <c r="N26">
        <f>IF(N10&lt;-UserInput!$B$18/UserInput!$B$19,-UserInput!$B$18,IF(N10&gt;UserInput!$B$18/UserInput!$B$19,UserInput!$B$18,'Calculations Circular'!N10*UserInput!$B$19))</f>
        <v>60</v>
      </c>
    </row>
    <row r="27" spans="1:23" x14ac:dyDescent="0.25">
      <c r="A27">
        <f t="shared" si="1"/>
        <v>9</v>
      </c>
      <c r="B27" s="28">
        <f t="shared" si="2"/>
        <v>8.4417807725492491</v>
      </c>
      <c r="C27">
        <f t="shared" si="3"/>
        <v>3.4</v>
      </c>
      <c r="D27">
        <f>IF(D11&lt;-UserInput!$B$18/UserInput!$B$19,-UserInput!$B$18,IF(D11&gt;UserInput!$B$18/UserInput!$B$19,UserInput!$B$18,'Calculations Circular'!D11*UserInput!$B$19))</f>
        <v>60</v>
      </c>
      <c r="E27">
        <f>IF(E11&lt;-UserInput!$B$18/UserInput!$B$19,-UserInput!$B$18,IF(E11&gt;UserInput!$B$18/UserInput!$B$19,UserInput!$B$18,'Calculations Circular'!E11*UserInput!$B$19))</f>
        <v>60</v>
      </c>
      <c r="F27">
        <f>IF(F11&lt;-UserInput!$B$18/UserInput!$B$19,-UserInput!$B$18,IF(F11&gt;UserInput!$B$18/UserInput!$B$19,UserInput!$B$18,'Calculations Circular'!F11*UserInput!$B$19))</f>
        <v>60</v>
      </c>
      <c r="G27">
        <f>IF(G11&lt;-UserInput!$B$18/UserInput!$B$19,-UserInput!$B$18,IF(G11&gt;UserInput!$B$18/UserInput!$B$19,UserInput!$B$18,'Calculations Circular'!G11*UserInput!$B$19))</f>
        <v>60</v>
      </c>
      <c r="H27">
        <f>IF(H11&lt;-UserInput!$B$18/UserInput!$B$19,-UserInput!$B$18,IF(H11&gt;UserInput!$B$18/UserInput!$B$19,UserInput!$B$18,'Calculations Circular'!H11*UserInput!$B$19))</f>
        <v>11.057710194224374</v>
      </c>
      <c r="I27">
        <f>IF(I11&lt;-UserInput!$B$18/UserInput!$B$19,-UserInput!$B$18,IF(I11&gt;UserInput!$B$18/UserInput!$B$19,UserInput!$B$18,'Calculations Circular'!I11*UserInput!$B$19))</f>
        <v>-42.988233124395826</v>
      </c>
      <c r="J27">
        <f>IF(J11&lt;-UserInput!$B$18/UserInput!$B$19,-UserInput!$B$18,IF(J11&gt;UserInput!$B$18/UserInput!$B$19,UserInput!$B$18,'Calculations Circular'!J11*UserInput!$B$19))</f>
        <v>-42.988233124395848</v>
      </c>
      <c r="K27">
        <f>IF(K11&lt;-UserInput!$B$18/UserInput!$B$19,-UserInput!$B$18,IF(K11&gt;UserInput!$B$18/UserInput!$B$19,UserInput!$B$18,'Calculations Circular'!K11*UserInput!$B$19))</f>
        <v>11.057710194224338</v>
      </c>
      <c r="L27">
        <f>IF(L11&lt;-UserInput!$B$18/UserInput!$B$19,-UserInput!$B$18,IF(L11&gt;UserInput!$B$18/UserInput!$B$19,UserInput!$B$18,'Calculations Circular'!L11*UserInput!$B$19))</f>
        <v>60</v>
      </c>
      <c r="M27">
        <f>IF(M11&lt;-UserInput!$B$18/UserInput!$B$19,-UserInput!$B$18,IF(M11&gt;UserInput!$B$18/UserInput!$B$19,UserInput!$B$18,'Calculations Circular'!M11*UserInput!$B$19))</f>
        <v>60</v>
      </c>
      <c r="N27">
        <f>IF(N11&lt;-UserInput!$B$18/UserInput!$B$19,-UserInput!$B$18,IF(N11&gt;UserInput!$B$18/UserInput!$B$19,UserInput!$B$18,'Calculations Circular'!N11*UserInput!$B$19))</f>
        <v>60</v>
      </c>
      <c r="S27" s="28"/>
    </row>
    <row r="28" spans="1:23" x14ac:dyDescent="0.25">
      <c r="A28">
        <f t="shared" si="1"/>
        <v>10</v>
      </c>
      <c r="B28" s="28">
        <f t="shared" si="2"/>
        <v>6.1755309007239481</v>
      </c>
      <c r="C28">
        <f t="shared" si="3"/>
        <v>3.4</v>
      </c>
      <c r="D28">
        <f>IF(D12&lt;-UserInput!$B$18/UserInput!$B$19,-UserInput!$B$18,IF(D12&gt;UserInput!$B$18/UserInput!$B$19,UserInput!$B$18,'Calculations Circular'!D12*UserInput!$B$19))</f>
        <v>60</v>
      </c>
      <c r="E28">
        <f>IF(E12&lt;-UserInput!$B$18/UserInput!$B$19,-UserInput!$B$18,IF(E12&gt;UserInput!$B$18/UserInput!$B$19,UserInput!$B$18,'Calculations Circular'!E12*UserInput!$B$19))</f>
        <v>60</v>
      </c>
      <c r="F28">
        <f>IF(F12&lt;-UserInput!$B$18/UserInput!$B$19,-UserInput!$B$18,IF(F12&gt;UserInput!$B$18/UserInput!$B$19,UserInput!$B$18,'Calculations Circular'!F12*UserInput!$B$19))</f>
        <v>60</v>
      </c>
      <c r="G28">
        <f>IF(G12&lt;-UserInput!$B$18/UserInput!$B$19,-UserInput!$B$18,IF(G12&gt;UserInput!$B$18/UserInput!$B$19,UserInput!$B$18,'Calculations Circular'!G12*UserInput!$B$19))</f>
        <v>60</v>
      </c>
      <c r="H28">
        <f>IF(H12&lt;-UserInput!$B$18/UserInput!$B$19,-UserInput!$B$18,IF(H12&gt;UserInput!$B$18/UserInput!$B$19,UserInput!$B$18,'Calculations Circular'!H12*UserInput!$B$19))</f>
        <v>47.042190999444294</v>
      </c>
      <c r="I28">
        <f>IF(I12&lt;-UserInput!$B$18/UserInput!$B$19,-UserInput!$B$18,IF(I12&gt;UserInput!$B$18/UserInput!$B$19,UserInput!$B$18,'Calculations Circular'!I12*UserInput!$B$19))</f>
        <v>-26.83712601408239</v>
      </c>
      <c r="J28">
        <f>IF(J12&lt;-UserInput!$B$18/UserInput!$B$19,-UserInput!$B$18,IF(J12&gt;UserInput!$B$18/UserInput!$B$19,UserInput!$B$18,'Calculations Circular'!J12*UserInput!$B$19))</f>
        <v>-26.837126014082415</v>
      </c>
      <c r="K28">
        <f>IF(K12&lt;-UserInput!$B$18/UserInput!$B$19,-UserInput!$B$18,IF(K12&gt;UserInput!$B$18/UserInput!$B$19,UserInput!$B$18,'Calculations Circular'!K12*UserInput!$B$19))</f>
        <v>47.042190999444244</v>
      </c>
      <c r="L28">
        <f>IF(L12&lt;-UserInput!$B$18/UserInput!$B$19,-UserInput!$B$18,IF(L12&gt;UserInput!$B$18/UserInput!$B$19,UserInput!$B$18,'Calculations Circular'!L12*UserInput!$B$19))</f>
        <v>60</v>
      </c>
      <c r="M28">
        <f>IF(M12&lt;-UserInput!$B$18/UserInput!$B$19,-UserInput!$B$18,IF(M12&gt;UserInput!$B$18/UserInput!$B$19,UserInput!$B$18,'Calculations Circular'!M12*UserInput!$B$19))</f>
        <v>60</v>
      </c>
      <c r="N28">
        <f>IF(N12&lt;-UserInput!$B$18/UserInput!$B$19,-UserInput!$B$18,IF(N12&gt;UserInput!$B$18/UserInput!$B$19,UserInput!$B$18,'Calculations Circular'!N12*UserInput!$B$19))</f>
        <v>60</v>
      </c>
    </row>
    <row r="29" spans="1:23" x14ac:dyDescent="0.25">
      <c r="A29">
        <f t="shared" si="1"/>
        <v>11</v>
      </c>
      <c r="B29" s="28">
        <f t="shared" si="2"/>
        <v>4.8685402339040653</v>
      </c>
      <c r="C29">
        <f t="shared" si="3"/>
        <v>3.4</v>
      </c>
      <c r="D29">
        <f>IF(D13&lt;-UserInput!$B$18/UserInput!$B$19,-UserInput!$B$18,IF(D13&gt;UserInput!$B$18/UserInput!$B$19,UserInput!$B$18,'Calculations Circular'!D13*UserInput!$B$19))</f>
        <v>60</v>
      </c>
      <c r="E29">
        <f>IF(E13&lt;-UserInput!$B$18/UserInput!$B$19,-UserInput!$B$18,IF(E13&gt;UserInput!$B$18/UserInput!$B$19,UserInput!$B$18,'Calculations Circular'!E13*UserInput!$B$19))</f>
        <v>60</v>
      </c>
      <c r="F29">
        <f>IF(F13&lt;-UserInput!$B$18/UserInput!$B$19,-UserInput!$B$18,IF(F13&gt;UserInput!$B$18/UserInput!$B$19,UserInput!$B$18,'Calculations Circular'!F13*UserInput!$B$19))</f>
        <v>60</v>
      </c>
      <c r="G29">
        <f>IF(G13&lt;-UserInput!$B$18/UserInput!$B$19,-UserInput!$B$18,IF(G13&gt;UserInput!$B$18/UserInput!$B$19,UserInput!$B$18,'Calculations Circular'!G13*UserInput!$B$19))</f>
        <v>60</v>
      </c>
      <c r="H29">
        <f>IF(H13&lt;-UserInput!$B$18/UserInput!$B$19,-UserInput!$B$18,IF(H13&gt;UserInput!$B$18/UserInput!$B$19,UserInput!$B$18,'Calculations Circular'!H13*UserInput!$B$19))</f>
        <v>60</v>
      </c>
      <c r="I29">
        <f>IF(I13&lt;-UserInput!$B$18/UserInput!$B$19,-UserInput!$B$18,IF(I13&gt;UserInput!$B$18/UserInput!$B$19,UserInput!$B$18,'Calculations Circular'!I13*UserInput!$B$19))</f>
        <v>-10.686018903768929</v>
      </c>
      <c r="J29">
        <f>IF(J13&lt;-UserInput!$B$18/UserInput!$B$19,-UserInput!$B$18,IF(J13&gt;UserInput!$B$18/UserInput!$B$19,UserInput!$B$18,'Calculations Circular'!J13*UserInput!$B$19))</f>
        <v>-10.686018903768959</v>
      </c>
      <c r="K29">
        <f>IF(K13&lt;-UserInput!$B$18/UserInput!$B$19,-UserInput!$B$18,IF(K13&gt;UserInput!$B$18/UserInput!$B$19,UserInput!$B$18,'Calculations Circular'!K13*UserInput!$B$19))</f>
        <v>60</v>
      </c>
      <c r="L29">
        <f>IF(L13&lt;-UserInput!$B$18/UserInput!$B$19,-UserInput!$B$18,IF(L13&gt;UserInput!$B$18/UserInput!$B$19,UserInput!$B$18,'Calculations Circular'!L13*UserInput!$B$19))</f>
        <v>60</v>
      </c>
      <c r="M29">
        <f>IF(M13&lt;-UserInput!$B$18/UserInput!$B$19,-UserInput!$B$18,IF(M13&gt;UserInput!$B$18/UserInput!$B$19,UserInput!$B$18,'Calculations Circular'!M13*UserInput!$B$19))</f>
        <v>60</v>
      </c>
      <c r="N29">
        <f>IF(N13&lt;-UserInput!$B$18/UserInput!$B$19,-UserInput!$B$18,IF(N13&gt;UserInput!$B$18/UserInput!$B$19,UserInput!$B$18,'Calculations Circular'!N13*UserInput!$B$19))</f>
        <v>60</v>
      </c>
    </row>
    <row r="30" spans="1:23" x14ac:dyDescent="0.25">
      <c r="A30">
        <f t="shared" si="1"/>
        <v>12</v>
      </c>
      <c r="B30" s="28">
        <f t="shared" si="2"/>
        <v>4.0181401930474605</v>
      </c>
      <c r="C30">
        <f t="shared" si="3"/>
        <v>3.4</v>
      </c>
      <c r="D30">
        <f>IF(D14&lt;-UserInput!$B$18/UserInput!$B$19,-UserInput!$B$18,IF(D14&gt;UserInput!$B$18/UserInput!$B$19,UserInput!$B$18,'Calculations Circular'!D14*UserInput!$B$19))</f>
        <v>60</v>
      </c>
      <c r="E30">
        <f>IF(E14&lt;-UserInput!$B$18/UserInput!$B$19,-UserInput!$B$18,IF(E14&gt;UserInput!$B$18/UserInput!$B$19,UserInput!$B$18,'Calculations Circular'!E14*UserInput!$B$19))</f>
        <v>60</v>
      </c>
      <c r="F30">
        <f>IF(F14&lt;-UserInput!$B$18/UserInput!$B$19,-UserInput!$B$18,IF(F14&gt;UserInput!$B$18/UserInput!$B$19,UserInput!$B$18,'Calculations Circular'!F14*UserInput!$B$19))</f>
        <v>60</v>
      </c>
      <c r="G30">
        <f>IF(G14&lt;-UserInput!$B$18/UserInput!$B$19,-UserInput!$B$18,IF(G14&gt;UserInput!$B$18/UserInput!$B$19,UserInput!$B$18,'Calculations Circular'!G14*UserInput!$B$19))</f>
        <v>60</v>
      </c>
      <c r="H30">
        <f>IF(H14&lt;-UserInput!$B$18/UserInput!$B$19,-UserInput!$B$18,IF(H14&gt;UserInput!$B$18/UserInput!$B$19,UserInput!$B$18,'Calculations Circular'!H14*UserInput!$B$19))</f>
        <v>60</v>
      </c>
      <c r="I30">
        <f>IF(I14&lt;-UserInput!$B$18/UserInput!$B$19,-UserInput!$B$18,IF(I14&gt;UserInput!$B$18/UserInput!$B$19,UserInput!$B$18,'Calculations Circular'!I14*UserInput!$B$19))</f>
        <v>5.4650882065444959</v>
      </c>
      <c r="J30">
        <f>IF(J14&lt;-UserInput!$B$18/UserInput!$B$19,-UserInput!$B$18,IF(J14&gt;UserInput!$B$18/UserInput!$B$19,UserInput!$B$18,'Calculations Circular'!J14*UserInput!$B$19))</f>
        <v>5.4650882065444568</v>
      </c>
      <c r="K30">
        <f>IF(K14&lt;-UserInput!$B$18/UserInput!$B$19,-UserInput!$B$18,IF(K14&gt;UserInput!$B$18/UserInput!$B$19,UserInput!$B$18,'Calculations Circular'!K14*UserInput!$B$19))</f>
        <v>60</v>
      </c>
      <c r="L30">
        <f>IF(L14&lt;-UserInput!$B$18/UserInput!$B$19,-UserInput!$B$18,IF(L14&gt;UserInput!$B$18/UserInput!$B$19,UserInput!$B$18,'Calculations Circular'!L14*UserInput!$B$19))</f>
        <v>60</v>
      </c>
      <c r="M30">
        <f>IF(M14&lt;-UserInput!$B$18/UserInput!$B$19,-UserInput!$B$18,IF(M14&gt;UserInput!$B$18/UserInput!$B$19,UserInput!$B$18,'Calculations Circular'!M14*UserInput!$B$19))</f>
        <v>60</v>
      </c>
      <c r="N30">
        <f>IF(N14&lt;-UserInput!$B$18/UserInput!$B$19,-UserInput!$B$18,IF(N14&gt;UserInput!$B$18/UserInput!$B$19,UserInput!$B$18,'Calculations Circular'!N14*UserInput!$B$19))</f>
        <v>60</v>
      </c>
    </row>
    <row r="31" spans="1:23" x14ac:dyDescent="0.25">
      <c r="A31">
        <f t="shared" si="1"/>
        <v>13</v>
      </c>
      <c r="B31" s="28" t="str">
        <f t="shared" si="2"/>
        <v>N/A</v>
      </c>
      <c r="C31">
        <f t="shared" si="3"/>
        <v>3.4</v>
      </c>
      <c r="D31">
        <f>IF(D15&lt;-UserInput!$B$18/UserInput!$B$19,-UserInput!$B$18,IF(D15&gt;UserInput!$B$18/UserInput!$B$19,UserInput!$B$18,'Calculations Circular'!D15*UserInput!$B$19))</f>
        <v>60</v>
      </c>
      <c r="E31">
        <f>IF(E15&lt;-UserInput!$B$18/UserInput!$B$19,-UserInput!$B$18,IF(E15&gt;UserInput!$B$18/UserInput!$B$19,UserInput!$B$18,'Calculations Circular'!E15*UserInput!$B$19))</f>
        <v>60</v>
      </c>
      <c r="F31">
        <f>IF(F15&lt;-UserInput!$B$18/UserInput!$B$19,-UserInput!$B$18,IF(F15&gt;UserInput!$B$18/UserInput!$B$19,UserInput!$B$18,'Calculations Circular'!F15*UserInput!$B$19))</f>
        <v>60</v>
      </c>
      <c r="G31">
        <f>IF(G15&lt;-UserInput!$B$18/UserInput!$B$19,-UserInput!$B$18,IF(G15&gt;UserInput!$B$18/UserInput!$B$19,UserInput!$B$18,'Calculations Circular'!G15*UserInput!$B$19))</f>
        <v>60</v>
      </c>
      <c r="H31">
        <f>IF(H15&lt;-UserInput!$B$18/UserInput!$B$19,-UserInput!$B$18,IF(H15&gt;UserInput!$B$18/UserInput!$B$19,UserInput!$B$18,'Calculations Circular'!H15*UserInput!$B$19))</f>
        <v>60</v>
      </c>
      <c r="I31">
        <f>IF(I15&lt;-UserInput!$B$18/UserInput!$B$19,-UserInput!$B$18,IF(I15&gt;UserInput!$B$18/UserInput!$B$19,UserInput!$B$18,'Calculations Circular'!I15*UserInput!$B$19))</f>
        <v>60</v>
      </c>
      <c r="J31">
        <f>IF(J15&lt;-UserInput!$B$18/UserInput!$B$19,-UserInput!$B$18,IF(J15&gt;UserInput!$B$18/UserInput!$B$19,UserInput!$B$18,'Calculations Circular'!J15*UserInput!$B$19))</f>
        <v>60</v>
      </c>
      <c r="K31">
        <f>IF(K15&lt;-UserInput!$B$18/UserInput!$B$19,-UserInput!$B$18,IF(K15&gt;UserInput!$B$18/UserInput!$B$19,UserInput!$B$18,'Calculations Circular'!K15*UserInput!$B$19))</f>
        <v>60</v>
      </c>
      <c r="L31">
        <f>IF(L15&lt;-UserInput!$B$18/UserInput!$B$19,-UserInput!$B$18,IF(L15&gt;UserInput!$B$18/UserInput!$B$19,UserInput!$B$18,'Calculations Circular'!L15*UserInput!$B$19))</f>
        <v>60</v>
      </c>
      <c r="M31">
        <f>IF(M15&lt;-UserInput!$B$18/UserInput!$B$19,-UserInput!$B$18,IF(M15&gt;UserInput!$B$18/UserInput!$B$19,UserInput!$B$18,'Calculations Circular'!M15*UserInput!$B$19))</f>
        <v>60</v>
      </c>
      <c r="N31">
        <f>IF(N15&lt;-UserInput!$B$18/UserInput!$B$19,-UserInput!$B$18,IF(N15&gt;UserInput!$B$18/UserInput!$B$19,UserInput!$B$18,'Calculations Circular'!N15*UserInput!$B$19))</f>
        <v>60</v>
      </c>
    </row>
    <row r="33" spans="1:18" x14ac:dyDescent="0.25">
      <c r="A33" s="13" t="s">
        <v>58</v>
      </c>
    </row>
    <row r="34" spans="1:18" x14ac:dyDescent="0.25">
      <c r="A34" t="s">
        <v>28</v>
      </c>
      <c r="B34" t="s">
        <v>49</v>
      </c>
      <c r="C34" t="s">
        <v>59</v>
      </c>
      <c r="D34" t="s">
        <v>60</v>
      </c>
      <c r="E34" s="14" t="s">
        <v>61</v>
      </c>
      <c r="F34" s="14" t="s">
        <v>63</v>
      </c>
      <c r="G34" s="14" t="s">
        <v>64</v>
      </c>
      <c r="H34" s="14" t="s">
        <v>65</v>
      </c>
      <c r="I34">
        <v>1</v>
      </c>
      <c r="J34">
        <v>2</v>
      </c>
      <c r="K34">
        <v>3</v>
      </c>
      <c r="L34">
        <v>4</v>
      </c>
      <c r="M34">
        <v>5</v>
      </c>
      <c r="N34">
        <v>6</v>
      </c>
      <c r="O34">
        <v>7</v>
      </c>
      <c r="P34">
        <v>8</v>
      </c>
      <c r="Q34">
        <v>9</v>
      </c>
      <c r="R34">
        <v>10</v>
      </c>
    </row>
    <row r="35" spans="1:18" x14ac:dyDescent="0.25">
      <c r="A35">
        <v>1</v>
      </c>
      <c r="B35" t="s">
        <v>45</v>
      </c>
      <c r="C35" t="s">
        <v>45</v>
      </c>
      <c r="D35">
        <f>UserInput!$B$21*UserInput!$B$5</f>
        <v>9.9932805673629872</v>
      </c>
      <c r="E35" s="31">
        <f>UserInput!B8-D35</f>
        <v>1007.88273919573</v>
      </c>
      <c r="F35">
        <v>0</v>
      </c>
      <c r="G35">
        <f t="shared" ref="G35:G47" si="4">-E35*C19</f>
        <v>-3426.8013132654819</v>
      </c>
      <c r="H35">
        <f>D19*UserInput!$B$21</f>
        <v>-59.959683404177916</v>
      </c>
      <c r="I35">
        <f>E19*UserInput!$B$21</f>
        <v>-59.959683404177916</v>
      </c>
      <c r="J35">
        <f>F19*UserInput!$B$21</f>
        <v>-59.959683404177916</v>
      </c>
      <c r="K35">
        <f>G19*UserInput!$B$21</f>
        <v>-59.959683404177916</v>
      </c>
      <c r="L35">
        <f>H19*UserInput!$B$21</f>
        <v>-59.959683404177916</v>
      </c>
      <c r="M35">
        <f>I19*UserInput!$B$21</f>
        <v>-59.959683404177916</v>
      </c>
      <c r="N35">
        <f>J19*UserInput!$B$21</f>
        <v>-59.959683404177916</v>
      </c>
      <c r="O35">
        <f>K19*UserInput!$B$21</f>
        <v>-59.959683404177916</v>
      </c>
      <c r="P35">
        <f>L19*UserInput!$B$21</f>
        <v>-59.959683404177916</v>
      </c>
      <c r="Q35">
        <f>M19*UserInput!$B$21</f>
        <v>-59.959683404177916</v>
      </c>
      <c r="R35">
        <f>N19*UserInput!$B$21</f>
        <v>-59.959683404177916</v>
      </c>
    </row>
    <row r="36" spans="1:18" x14ac:dyDescent="0.25">
      <c r="A36">
        <f t="shared" ref="A36:A47" si="5">A35+1</f>
        <v>2</v>
      </c>
      <c r="B36" s="28">
        <f t="shared" ref="B36:B47" si="6">B20</f>
        <v>31.729451869236836</v>
      </c>
      <c r="C36">
        <f>B36*UserInput!$B$14</f>
        <v>26.97003408885131</v>
      </c>
      <c r="D36">
        <f>UserInput!$B$21*COUNTIF(Coordinates!$G$3:$G$103,"&gt;"&amp;UserInput!$B$3-'Calculations Circular'!C36-UserInput!$B$3/2)</f>
        <v>7.9946244538903892</v>
      </c>
      <c r="E36" s="14">
        <f>(UserInput!$B$3/2)^2*ACOS(((UserInput!$B$3/2)-C36)/(UserInput!$B$3/2))-((UserInput!$B$3/2)-C36)*SQRT(2*(UserInput!$B$3/2)*C36-C36^2)</f>
        <v>817.94536626909212</v>
      </c>
      <c r="F36">
        <f>2*(2*(UserInput!$B$3/2)*C36-C36^2)^(3/2)/(3*E36)</f>
        <v>3.0976750217208409</v>
      </c>
      <c r="G36">
        <f t="shared" si="4"/>
        <v>-2781.0142453149133</v>
      </c>
      <c r="H36">
        <f>D20*UserInput!$B$21</f>
        <v>0</v>
      </c>
      <c r="I36">
        <f>E20*UserInput!$B$21</f>
        <v>0</v>
      </c>
      <c r="J36">
        <f>F20*UserInput!$B$21</f>
        <v>-14.369533924965401</v>
      </c>
      <c r="K36">
        <f>G20*UserInput!$B$21</f>
        <v>-37.619928218054106</v>
      </c>
      <c r="L36">
        <f>H20*UserInput!$B$21</f>
        <v>-59.959683404177916</v>
      </c>
      <c r="M36">
        <f>I20*UserInput!$B$21</f>
        <v>-59.959683404177916</v>
      </c>
      <c r="N36">
        <f>J20*UserInput!$B$21</f>
        <v>-59.959683404177916</v>
      </c>
      <c r="O36">
        <f>K20*UserInput!$B$21</f>
        <v>-59.959683404177916</v>
      </c>
      <c r="P36">
        <f>L20*UserInput!$B$21</f>
        <v>-37.619928218054106</v>
      </c>
      <c r="Q36">
        <f>M20*UserInput!$B$21</f>
        <v>-14.36953392496541</v>
      </c>
      <c r="R36">
        <f>N20*UserInput!$B$21</f>
        <v>0</v>
      </c>
    </row>
    <row r="37" spans="1:18" x14ac:dyDescent="0.25">
      <c r="A37">
        <f t="shared" si="5"/>
        <v>3</v>
      </c>
      <c r="B37" s="28">
        <f t="shared" si="6"/>
        <v>27.063356006113775</v>
      </c>
      <c r="C37">
        <f>B37*UserInput!$B$14</f>
        <v>23.003852605196709</v>
      </c>
      <c r="D37">
        <f>UserInput!$B$21*COUNTIF(Coordinates!$G$3:$G$103,"&gt;"&amp;UserInput!$B$3-'Calculations Circular'!C37-UserInput!$B$3/2)</f>
        <v>5.9959683404177921</v>
      </c>
      <c r="E37" s="14">
        <f>(UserInput!$B$3/2)^2*ACOS(((UserInput!$B$3/2)-C37)/(UserInput!$B$3/2))-((UserInput!$B$3/2)-C37)*SQRT(2*(UserInput!$B$3/2)*C37-C37^2)</f>
        <v>686.72886718717064</v>
      </c>
      <c r="F37">
        <f>2*(2*(UserInput!$B$3/2)*C37-C37^2)^(3/2)/(3*E37)</f>
        <v>5.0181801007907865</v>
      </c>
      <c r="G37">
        <f t="shared" si="4"/>
        <v>-2334.8781484363799</v>
      </c>
      <c r="H37">
        <f>D21*UserInput!$B$21</f>
        <v>14.989920851044479</v>
      </c>
      <c r="I37">
        <f>E21*UserInput!$B$21</f>
        <v>14.98992085104447</v>
      </c>
      <c r="J37">
        <f>F21*UserInput!$B$21</f>
        <v>-1.8571189230528937</v>
      </c>
      <c r="K37">
        <f>G21*UserInput!$B$21</f>
        <v>-29.116201887363776</v>
      </c>
      <c r="L37">
        <f>H21*UserInput!$B$21</f>
        <v>-56.375284851674657</v>
      </c>
      <c r="M37">
        <f>I21*UserInput!$B$21</f>
        <v>-59.959683404177916</v>
      </c>
      <c r="N37">
        <f>J21*UserInput!$B$21</f>
        <v>-59.959683404177916</v>
      </c>
      <c r="O37">
        <f>K21*UserInput!$B$21</f>
        <v>-56.375284851674671</v>
      </c>
      <c r="P37">
        <f>L21*UserInput!$B$21</f>
        <v>-29.116201887363783</v>
      </c>
      <c r="Q37">
        <f>M21*UserInput!$B$21</f>
        <v>-1.857118923052905</v>
      </c>
      <c r="R37">
        <f>N21*UserInput!$B$21</f>
        <v>14.98992085104447</v>
      </c>
    </row>
    <row r="38" spans="1:18" x14ac:dyDescent="0.25">
      <c r="A38">
        <f t="shared" si="5"/>
        <v>4</v>
      </c>
      <c r="B38" s="28">
        <f t="shared" si="6"/>
        <v>23.59369497968893</v>
      </c>
      <c r="C38">
        <f>B38*UserInput!$B$14</f>
        <v>20.054640732735589</v>
      </c>
      <c r="D38">
        <f>UserInput!$B$21*COUNTIF(Coordinates!$G$3:$G$103,"&gt;"&amp;UserInput!$B$3-'Calculations Circular'!C38-UserInput!$B$3/2)</f>
        <v>5.9959683404177921</v>
      </c>
      <c r="E38" s="14">
        <f>(UserInput!$B$3/2)^2*ACOS(((UserInput!$B$3/2)-C38)/(UserInput!$B$3/2))-((UserInput!$B$3/2)-C38)*SQRT(2*(UserInput!$B$3/2)*C38-C38^2)</f>
        <v>582.74413557185176</v>
      </c>
      <c r="F38">
        <f>2*(2*(UserInput!$B$3/2)*C38-C38^2)^(3/2)/(3*E38)</f>
        <v>6.541910856172044</v>
      </c>
      <c r="G38">
        <f t="shared" si="4"/>
        <v>-1981.3300609442958</v>
      </c>
      <c r="H38">
        <f>D22*UserInput!$B$21</f>
        <v>29.979841702088958</v>
      </c>
      <c r="I38">
        <f>E22*UserInput!$B$21</f>
        <v>29.979841702088951</v>
      </c>
      <c r="J38">
        <f>F22*UserInput!$B$21</f>
        <v>10.655296078859624</v>
      </c>
      <c r="K38">
        <f>G22*UserInput!$B$21</f>
        <v>-20.612475556673441</v>
      </c>
      <c r="L38">
        <f>H22*UserInput!$B$21</f>
        <v>-51.880247192206511</v>
      </c>
      <c r="M38">
        <f>I22*UserInput!$B$21</f>
        <v>-59.959683404177916</v>
      </c>
      <c r="N38">
        <f>J22*UserInput!$B$21</f>
        <v>-59.959683404177916</v>
      </c>
      <c r="O38">
        <f>K22*UserInput!$B$21</f>
        <v>-51.880247192206525</v>
      </c>
      <c r="P38">
        <f>L22*UserInput!$B$21</f>
        <v>-20.612475556673456</v>
      </c>
      <c r="Q38">
        <f>M22*UserInput!$B$21</f>
        <v>10.655296078859612</v>
      </c>
      <c r="R38">
        <f>N22*UserInput!$B$21</f>
        <v>29.979841702088951</v>
      </c>
    </row>
    <row r="39" spans="1:18" x14ac:dyDescent="0.25">
      <c r="A39">
        <f t="shared" si="5"/>
        <v>5</v>
      </c>
      <c r="B39" s="28">
        <f t="shared" si="6"/>
        <v>20.912593277451549</v>
      </c>
      <c r="C39">
        <f>B39*UserInput!$B$14</f>
        <v>17.775704285833815</v>
      </c>
      <c r="D39">
        <f>UserInput!$B$21*COUNTIF(Coordinates!$G$3:$G$103,"&gt;"&amp;UserInput!$B$3-'Calculations Circular'!C39-UserInput!$B$3/2)</f>
        <v>3.9973122269451946</v>
      </c>
      <c r="E39" s="14">
        <f>(UserInput!$B$3/2)^2*ACOS(((UserInput!$B$3/2)-C39)/(UserInput!$B$3/2))-((UserInput!$B$3/2)-C39)*SQRT(2*(UserInput!$B$3/2)*C39-C39^2)</f>
        <v>500.86357313932092</v>
      </c>
      <c r="F39">
        <f>2*(2*(UserInput!$B$3/2)*C39-C39^2)^(3/2)/(3*E39)</f>
        <v>7.7607849510323632</v>
      </c>
      <c r="G39">
        <f t="shared" si="4"/>
        <v>-1702.9361486736912</v>
      </c>
      <c r="H39">
        <f>D23*UserInput!$B$21</f>
        <v>44.969762553133442</v>
      </c>
      <c r="I39">
        <f>E23*UserInput!$B$21</f>
        <v>44.969762553133457</v>
      </c>
      <c r="J39">
        <f>F23*UserInput!$B$21</f>
        <v>23.167711080772158</v>
      </c>
      <c r="K39">
        <f>G23*UserInput!$B$21</f>
        <v>-12.108749225983111</v>
      </c>
      <c r="L39">
        <f>H23*UserInput!$B$21</f>
        <v>-47.385209532738379</v>
      </c>
      <c r="M39">
        <f>I23*UserInput!$B$21</f>
        <v>-59.959683404177916</v>
      </c>
      <c r="N39">
        <f>J23*UserInput!$B$21</f>
        <v>-59.959683404177916</v>
      </c>
      <c r="O39">
        <f>K23*UserInput!$B$21</f>
        <v>-47.385209532738394</v>
      </c>
      <c r="P39">
        <f>L23*UserInput!$B$21</f>
        <v>-12.108749225983125</v>
      </c>
      <c r="Q39">
        <f>M23*UserInput!$B$21</f>
        <v>23.16771108077214</v>
      </c>
      <c r="R39">
        <f>N23*UserInput!$B$21</f>
        <v>44.969762553133457</v>
      </c>
    </row>
    <row r="40" spans="1:18" x14ac:dyDescent="0.25">
      <c r="A40">
        <f t="shared" si="5"/>
        <v>6</v>
      </c>
      <c r="B40" s="28">
        <f t="shared" si="6"/>
        <v>18.778655187915678</v>
      </c>
      <c r="C40">
        <f>B40*UserInput!$B$14</f>
        <v>15.961856909728326</v>
      </c>
      <c r="D40">
        <f>UserInput!$B$21*COUNTIF(Coordinates!$G$3:$G$103,"&gt;"&amp;UserInput!$B$3-'Calculations Circular'!C40-UserInput!$B$3/2)</f>
        <v>3.9973122269451946</v>
      </c>
      <c r="E40" s="14">
        <f>(UserInput!$B$3/2)^2*ACOS(((UserInput!$B$3/2)-C40)/(UserInput!$B$3/2))-((UserInput!$B$3/2)-C40)*SQRT(2*(UserInput!$B$3/2)*C40-C40^2)</f>
        <v>435.72194862099838</v>
      </c>
      <c r="F40">
        <f>2*(2*(UserInput!$B$3/2)*C40-C40^2)^(3/2)/(3*E40)</f>
        <v>8.7520670049509395</v>
      </c>
      <c r="G40">
        <f t="shared" si="4"/>
        <v>-1481.4546253113945</v>
      </c>
      <c r="H40">
        <f>D24*UserInput!$B$21</f>
        <v>59.959683404177916</v>
      </c>
      <c r="I40">
        <f>E24*UserInput!$B$21</f>
        <v>59.959683404177916</v>
      </c>
      <c r="J40">
        <f>F24*UserInput!$B$21</f>
        <v>35.680126082684666</v>
      </c>
      <c r="K40">
        <f>G24*UserInput!$B$21</f>
        <v>-3.6050228952927919</v>
      </c>
      <c r="L40">
        <f>H24*UserInput!$B$21</f>
        <v>-42.890171873270248</v>
      </c>
      <c r="M40">
        <f>I24*UserInput!$B$21</f>
        <v>-59.959683404177916</v>
      </c>
      <c r="N40">
        <f>J24*UserInput!$B$21</f>
        <v>-59.959683404177916</v>
      </c>
      <c r="O40">
        <f>K24*UserInput!$B$21</f>
        <v>-42.890171873270262</v>
      </c>
      <c r="P40">
        <f>L24*UserInput!$B$21</f>
        <v>-3.6050228952928083</v>
      </c>
      <c r="Q40">
        <f>M24*UserInput!$B$21</f>
        <v>35.680126082684652</v>
      </c>
      <c r="R40">
        <f>N24*UserInput!$B$21</f>
        <v>59.959683404177916</v>
      </c>
    </row>
    <row r="41" spans="1:18" x14ac:dyDescent="0.25">
      <c r="A41">
        <f t="shared" si="5"/>
        <v>7</v>
      </c>
      <c r="B41" s="28">
        <f t="shared" si="6"/>
        <v>13.335566727650264</v>
      </c>
      <c r="C41">
        <f>B41*UserInput!$B$14</f>
        <v>11.335231718502724</v>
      </c>
      <c r="D41">
        <f>UserInput!$B$21*COUNTIF(Coordinates!$G$3:$G$103,"&gt;"&amp;UserInput!$B$3-'Calculations Circular'!C41-UserInput!$B$3/2)</f>
        <v>3.9973122269451946</v>
      </c>
      <c r="E41" s="14">
        <f>(UserInput!$B$3/2)^2*ACOS(((UserInput!$B$3/2)-C41)/(UserInput!$B$3/2))-((UserInput!$B$3/2)-C41)*SQRT(2*(UserInput!$B$3/2)*C41-C41^2)</f>
        <v>274.60729370309411</v>
      </c>
      <c r="F41">
        <f>2*(2*(UserInput!$B$3/2)*C41-C41^2)^(3/2)/(3*E41)</f>
        <v>11.349006277842419</v>
      </c>
      <c r="G41">
        <f t="shared" si="4"/>
        <v>-933.66479859051992</v>
      </c>
      <c r="H41">
        <f>D25*UserInput!$B$21</f>
        <v>59.959683404177916</v>
      </c>
      <c r="I41">
        <f>E25*UserInput!$B$21</f>
        <v>59.959683404177916</v>
      </c>
      <c r="J41">
        <f>F25*UserInput!$B$21</f>
        <v>59.959683404177916</v>
      </c>
      <c r="K41">
        <f>G25*UserInput!$B$21</f>
        <v>30.409882427468517</v>
      </c>
      <c r="L41">
        <f>H25*UserInput!$B$21</f>
        <v>-24.910021235397696</v>
      </c>
      <c r="M41">
        <f>I25*UserInput!$B$21</f>
        <v>-59.099601953418833</v>
      </c>
      <c r="N41">
        <f>J25*UserInput!$B$21</f>
        <v>-59.099601953418848</v>
      </c>
      <c r="O41">
        <f>K25*UserInput!$B$21</f>
        <v>-24.910021235397721</v>
      </c>
      <c r="P41">
        <f>L25*UserInput!$B$21</f>
        <v>30.409882427468492</v>
      </c>
      <c r="Q41">
        <f>M25*UserInput!$B$21</f>
        <v>59.959683404177916</v>
      </c>
      <c r="R41">
        <f>N25*UserInput!$B$21</f>
        <v>59.959683404177916</v>
      </c>
    </row>
    <row r="42" spans="1:18" x14ac:dyDescent="0.25">
      <c r="A42">
        <f t="shared" si="5"/>
        <v>8</v>
      </c>
      <c r="B42" s="28">
        <f t="shared" si="6"/>
        <v>10.338810159638969</v>
      </c>
      <c r="C42">
        <f>B42*UserInput!$B$14</f>
        <v>8.7879886356931234</v>
      </c>
      <c r="D42">
        <f>UserInput!$B$21*COUNTIF(Coordinates!$G$3:$G$103,"&gt;"&amp;UserInput!$B$3-'Calculations Circular'!C42-UserInput!$B$3/2)</f>
        <v>1.9986561134725973</v>
      </c>
      <c r="E42" s="14">
        <f>(UserInput!$B$3/2)^2*ACOS(((UserInput!$B$3/2)-C42)/(UserInput!$B$3/2))-((UserInput!$B$3/2)-C42)*SQRT(2*(UserInput!$B$3/2)*C42-C42^2)</f>
        <v>192.41225552323405</v>
      </c>
      <c r="F42">
        <f>2*(2*(UserInput!$B$3/2)*C42-C42^2)^(3/2)/(3*E42)</f>
        <v>12.813011201270076</v>
      </c>
      <c r="G42">
        <f t="shared" si="4"/>
        <v>-654.20166877899578</v>
      </c>
      <c r="H42">
        <f>D26*UserInput!$B$21</f>
        <v>59.959683404177916</v>
      </c>
      <c r="I42">
        <f>E26*UserInput!$B$21</f>
        <v>59.959683404177916</v>
      </c>
      <c r="J42">
        <f>F26*UserInput!$B$21</f>
        <v>59.959683404177916</v>
      </c>
      <c r="K42">
        <f>G26*UserInput!$B$21</f>
        <v>59.959683404177916</v>
      </c>
      <c r="L42">
        <f>H26*UserInput!$B$21</f>
        <v>-6.9298705975251549</v>
      </c>
      <c r="M42">
        <f>I26*UserInput!$B$21</f>
        <v>-51.029474712074148</v>
      </c>
      <c r="N42">
        <f>J26*UserInput!$B$21</f>
        <v>-51.029474712074169</v>
      </c>
      <c r="O42">
        <f>K26*UserInput!$B$21</f>
        <v>-6.9298705975251842</v>
      </c>
      <c r="P42">
        <f>L26*UserInput!$B$21</f>
        <v>59.959683404177916</v>
      </c>
      <c r="Q42">
        <f>M26*UserInput!$B$21</f>
        <v>59.959683404177916</v>
      </c>
      <c r="R42">
        <f>N26*UserInput!$B$21</f>
        <v>59.959683404177916</v>
      </c>
    </row>
    <row r="43" spans="1:18" x14ac:dyDescent="0.25">
      <c r="A43">
        <f t="shared" si="5"/>
        <v>9</v>
      </c>
      <c r="B43" s="28">
        <f t="shared" si="6"/>
        <v>8.4417807725492491</v>
      </c>
      <c r="C43">
        <f>B43*UserInput!$B$14</f>
        <v>7.1755136566668618</v>
      </c>
      <c r="D43">
        <f>UserInput!$B$21*COUNTIF(Coordinates!$G$3:$G$103,"&gt;"&amp;UserInput!$B$3-'Calculations Circular'!C43-UserInput!$B$3/2)</f>
        <v>1.9986561134725973</v>
      </c>
      <c r="E43" s="14">
        <f>(UserInput!$B$3/2)^2*ACOS(((UserInput!$B$3/2)-C43)/(UserInput!$B$3/2))-((UserInput!$B$3/2)-C43)*SQRT(2*(UserInput!$B$3/2)*C43-C43^2)</f>
        <v>144.21889416181068</v>
      </c>
      <c r="F43">
        <f>2*(2*(UserInput!$B$3/2)*C43-C43^2)^(3/2)/(3*E43)</f>
        <v>13.750181729138649</v>
      </c>
      <c r="G43">
        <f t="shared" si="4"/>
        <v>-490.34424015015628</v>
      </c>
      <c r="H43">
        <f>D27*UserInput!$B$21</f>
        <v>59.959683404177916</v>
      </c>
      <c r="I43">
        <f>E27*UserInput!$B$21</f>
        <v>59.959683404177916</v>
      </c>
      <c r="J43">
        <f>F27*UserInput!$B$21</f>
        <v>59.959683404177916</v>
      </c>
      <c r="K43">
        <f>G27*UserInput!$B$21</f>
        <v>59.959683404177916</v>
      </c>
      <c r="L43">
        <f>H27*UserInput!$B$21</f>
        <v>11.050280040347403</v>
      </c>
      <c r="M43">
        <f>I27*UserInput!$B$21</f>
        <v>-42.959347470729462</v>
      </c>
      <c r="N43">
        <f>J27*UserInput!$B$21</f>
        <v>-42.959347470729483</v>
      </c>
      <c r="O43">
        <f>K27*UserInput!$B$21</f>
        <v>11.050280040347367</v>
      </c>
      <c r="P43">
        <f>L27*UserInput!$B$21</f>
        <v>59.959683404177916</v>
      </c>
      <c r="Q43">
        <f>M27*UserInput!$B$21</f>
        <v>59.959683404177916</v>
      </c>
      <c r="R43">
        <f>N27*UserInput!$B$21</f>
        <v>59.959683404177916</v>
      </c>
    </row>
    <row r="44" spans="1:18" x14ac:dyDescent="0.25">
      <c r="A44">
        <f t="shared" si="5"/>
        <v>10</v>
      </c>
      <c r="B44" s="28">
        <f t="shared" si="6"/>
        <v>6.1755309007239481</v>
      </c>
      <c r="C44">
        <f>B44*UserInput!$B$14</f>
        <v>5.2492012656153557</v>
      </c>
      <c r="D44">
        <f>UserInput!$B$21*COUNTIF(Coordinates!$G$3:$G$103,"&gt;"&amp;UserInput!$B$3-'Calculations Circular'!C44-UserInput!$B$3/2)</f>
        <v>1.9986561134725973</v>
      </c>
      <c r="E44" s="14">
        <f>(UserInput!$B$3/2)^2*ACOS(((UserInput!$B$3/2)-C44)/(UserInput!$B$3/2))-((UserInput!$B$3/2)-C44)*SQRT(2*(UserInput!$B$3/2)*C44-C44^2)</f>
        <v>91.88718388826274</v>
      </c>
      <c r="F44">
        <f>2*(2*(UserInput!$B$3/2)*C44-C44^2)^(3/2)/(3*E44)</f>
        <v>14.879153965728074</v>
      </c>
      <c r="G44">
        <f t="shared" si="4"/>
        <v>-312.41642522009329</v>
      </c>
      <c r="H44">
        <f>D28*UserInput!$B$21</f>
        <v>59.959683404177916</v>
      </c>
      <c r="I44">
        <f>E28*UserInput!$B$21</f>
        <v>59.959683404177916</v>
      </c>
      <c r="J44">
        <f>F28*UserInput!$B$21</f>
        <v>59.959683404177916</v>
      </c>
      <c r="K44">
        <f>G28*UserInput!$B$21</f>
        <v>59.959683404177916</v>
      </c>
      <c r="L44">
        <f>H28*UserInput!$B$21</f>
        <v>47.010581316092463</v>
      </c>
      <c r="M44">
        <f>I28*UserInput!$B$21</f>
        <v>-26.819092988040122</v>
      </c>
      <c r="N44">
        <f>J28*UserInput!$B$21</f>
        <v>-26.819092988040147</v>
      </c>
      <c r="O44">
        <f>K28*UserInput!$B$21</f>
        <v>47.010581316092413</v>
      </c>
      <c r="P44">
        <f>L28*UserInput!$B$21</f>
        <v>59.959683404177916</v>
      </c>
      <c r="Q44">
        <f>M28*UserInput!$B$21</f>
        <v>59.959683404177916</v>
      </c>
      <c r="R44">
        <f>N28*UserInput!$B$21</f>
        <v>59.959683404177916</v>
      </c>
    </row>
    <row r="45" spans="1:18" x14ac:dyDescent="0.25">
      <c r="A45">
        <f t="shared" si="5"/>
        <v>11</v>
      </c>
      <c r="B45" s="28">
        <f t="shared" si="6"/>
        <v>4.8685402339040653</v>
      </c>
      <c r="C45">
        <f>B45*UserInput!$B$14</f>
        <v>4.1382591988184556</v>
      </c>
      <c r="D45">
        <f>UserInput!$B$21*COUNTIF(Coordinates!$G$3:$G$103,"&gt;"&amp;UserInput!$B$3-'Calculations Circular'!C45-UserInput!$B$3/2)</f>
        <v>0</v>
      </c>
      <c r="E45" s="14">
        <f>(UserInput!$B$3/2)^2*ACOS(((UserInput!$B$3/2)-C45)/(UserInput!$B$3/2))-((UserInput!$B$3/2)-C45)*SQRT(2*(UserInput!$B$3/2)*C45-C45^2)</f>
        <v>64.97430633765623</v>
      </c>
      <c r="F45">
        <f>2*(2*(UserInput!$B$3/2)*C45-C45^2)^(3/2)/(3*E45)</f>
        <v>15.534521243022422</v>
      </c>
      <c r="G45">
        <f t="shared" si="4"/>
        <v>-220.91264154803119</v>
      </c>
      <c r="H45">
        <f>D29*UserInput!$B$21</f>
        <v>59.959683404177916</v>
      </c>
      <c r="I45">
        <f>E29*UserInput!$B$21</f>
        <v>59.959683404177916</v>
      </c>
      <c r="J45">
        <f>F29*UserInput!$B$21</f>
        <v>59.959683404177916</v>
      </c>
      <c r="K45">
        <f>G29*UserInput!$B$21</f>
        <v>59.959683404177916</v>
      </c>
      <c r="L45">
        <f>H29*UserInput!$B$21</f>
        <v>59.959683404177916</v>
      </c>
      <c r="M45">
        <f>I29*UserInput!$B$21</f>
        <v>-10.678838505350756</v>
      </c>
      <c r="N45">
        <f>J29*UserInput!$B$21</f>
        <v>-10.678838505350786</v>
      </c>
      <c r="O45">
        <f>K29*UserInput!$B$21</f>
        <v>59.959683404177916</v>
      </c>
      <c r="P45">
        <f>L29*UserInput!$B$21</f>
        <v>59.959683404177916</v>
      </c>
      <c r="Q45">
        <f>M29*UserInput!$B$21</f>
        <v>59.959683404177916</v>
      </c>
      <c r="R45">
        <f>N29*UserInput!$B$21</f>
        <v>59.959683404177916</v>
      </c>
    </row>
    <row r="46" spans="1:18" x14ac:dyDescent="0.25">
      <c r="A46">
        <f t="shared" si="5"/>
        <v>12</v>
      </c>
      <c r="B46" s="28">
        <f t="shared" si="6"/>
        <v>4.0181401930474605</v>
      </c>
      <c r="C46">
        <f>B46*UserInput!$B$14</f>
        <v>3.4154191640903413</v>
      </c>
      <c r="D46">
        <f>UserInput!$B$21*COUNTIF(Coordinates!$G$3:$G$103,"&gt;"&amp;UserInput!$B$3-'Calculations Circular'!C46-UserInput!$B$3/2)</f>
        <v>0</v>
      </c>
      <c r="E46" s="14">
        <f>(UserInput!$B$3/2)^2*ACOS(((UserInput!$B$3/2)-C46)/(UserInput!$B$3/2))-((UserInput!$B$3/2)-C46)*SQRT(2*(UserInput!$B$3/2)*C46-C46^2)</f>
        <v>49.033388582051458</v>
      </c>
      <c r="F46">
        <f>2*(2*(UserInput!$B$3/2)*C46-C46^2)^(3/2)/(3*E46)</f>
        <v>15.962505429250289</v>
      </c>
      <c r="G46">
        <f t="shared" si="4"/>
        <v>-166.71352117897496</v>
      </c>
      <c r="H46">
        <f>D30*UserInput!$B$21</f>
        <v>59.959683404177916</v>
      </c>
      <c r="I46">
        <f>E30*UserInput!$B$21</f>
        <v>59.959683404177916</v>
      </c>
      <c r="J46">
        <f>F30*UserInput!$B$21</f>
        <v>59.959683404177916</v>
      </c>
      <c r="K46">
        <f>G30*UserInput!$B$21</f>
        <v>59.959683404177916</v>
      </c>
      <c r="L46">
        <f>H30*UserInput!$B$21</f>
        <v>59.959683404177916</v>
      </c>
      <c r="M46">
        <f>I30*UserInput!$B$21</f>
        <v>5.4614159773385751</v>
      </c>
      <c r="N46">
        <f>J30*UserInput!$B$21</f>
        <v>5.461415977338536</v>
      </c>
      <c r="O46">
        <f>K30*UserInput!$B$21</f>
        <v>59.959683404177916</v>
      </c>
      <c r="P46">
        <f>L30*UserInput!$B$21</f>
        <v>59.959683404177916</v>
      </c>
      <c r="Q46">
        <f>M30*UserInput!$B$21</f>
        <v>59.959683404177916</v>
      </c>
      <c r="R46">
        <f>N30*UserInput!$B$21</f>
        <v>59.959683404177916</v>
      </c>
    </row>
    <row r="47" spans="1:18" x14ac:dyDescent="0.25">
      <c r="A47">
        <f t="shared" si="5"/>
        <v>13</v>
      </c>
      <c r="B47" s="28" t="str">
        <f t="shared" si="6"/>
        <v>N/A</v>
      </c>
      <c r="C47" t="s">
        <v>45</v>
      </c>
      <c r="D47">
        <f>UserInput!$B$21*COUNTIF(Coordinates!$G$3:$G$103,"&gt;"&amp;UserInput!$B$3-'Calculations Circular'!C47-UserInput!$B$3/2)</f>
        <v>0</v>
      </c>
      <c r="E47" s="14">
        <v>0</v>
      </c>
      <c r="F47">
        <v>0</v>
      </c>
      <c r="G47">
        <f t="shared" si="4"/>
        <v>0</v>
      </c>
      <c r="H47">
        <f>D31*UserInput!$B$21</f>
        <v>59.959683404177916</v>
      </c>
      <c r="I47">
        <f>E31*UserInput!$B$21</f>
        <v>59.959683404177916</v>
      </c>
      <c r="J47">
        <f>F31*UserInput!$B$21</f>
        <v>59.959683404177916</v>
      </c>
      <c r="K47">
        <f>G31*UserInput!$B$21</f>
        <v>59.959683404177916</v>
      </c>
      <c r="L47">
        <f>H31*UserInput!$B$21</f>
        <v>59.959683404177916</v>
      </c>
      <c r="M47">
        <f>I31*UserInput!$B$21</f>
        <v>59.959683404177916</v>
      </c>
      <c r="N47">
        <f>J31*UserInput!$B$21</f>
        <v>59.959683404177916</v>
      </c>
      <c r="O47">
        <f>K31*UserInput!$B$21</f>
        <v>59.959683404177916</v>
      </c>
      <c r="P47">
        <f>L31*UserInput!$B$21</f>
        <v>59.959683404177916</v>
      </c>
      <c r="Q47">
        <f>M31*UserInput!$B$21</f>
        <v>59.959683404177916</v>
      </c>
      <c r="R47">
        <f>N31*UserInput!$B$21</f>
        <v>59.959683404177916</v>
      </c>
    </row>
    <row r="49" spans="1:15" x14ac:dyDescent="0.25">
      <c r="A49" s="13" t="s">
        <v>62</v>
      </c>
      <c r="G49" s="13" t="s">
        <v>81</v>
      </c>
      <c r="M49" s="27" t="s">
        <v>82</v>
      </c>
      <c r="N49">
        <f>IF(UserInput!B13="Spirals",0.85,IF(UserInput!B13="Ties",0.8,"Error"))</f>
        <v>0.85</v>
      </c>
    </row>
    <row r="50" spans="1:15" x14ac:dyDescent="0.25">
      <c r="A50" t="s">
        <v>28</v>
      </c>
      <c r="B50" t="s">
        <v>30</v>
      </c>
      <c r="C50" t="s">
        <v>66</v>
      </c>
      <c r="D50" s="32" t="s">
        <v>31</v>
      </c>
      <c r="E50" t="s">
        <v>90</v>
      </c>
      <c r="G50" s="27" t="s">
        <v>87</v>
      </c>
      <c r="H50" s="32" t="s">
        <v>86</v>
      </c>
      <c r="I50" t="s">
        <v>84</v>
      </c>
      <c r="J50" t="s">
        <v>85</v>
      </c>
      <c r="M50" s="27" t="s">
        <v>89</v>
      </c>
      <c r="N50">
        <f>UserInput!B18</f>
        <v>60</v>
      </c>
    </row>
    <row r="51" spans="1:15" x14ac:dyDescent="0.25">
      <c r="A51">
        <v>1</v>
      </c>
      <c r="B51">
        <v>4026.3981473072608</v>
      </c>
      <c r="C51">
        <v>5.6843418860808015E-14</v>
      </c>
      <c r="D51" t="s">
        <v>45</v>
      </c>
      <c r="E51" t="s">
        <v>52</v>
      </c>
      <c r="G51" s="51">
        <f>INDEX($E$3:$BB$15,A51,$N$53)</f>
        <v>-3.0000000000000001E-3</v>
      </c>
      <c r="H51" s="28">
        <f>IF(G51&lt;=$N$51,0.75,IF(G51&gt;=$N$52,0.9,(G51-$N$51)/($N$52-$N$51)*(0.9-0.75)+0.75))</f>
        <v>0.75</v>
      </c>
      <c r="I51" s="53">
        <f>H51*N49*B51</f>
        <v>2566.8288189083787</v>
      </c>
      <c r="J51" s="49">
        <f>H51*C51</f>
        <v>4.2632564145606011E-14</v>
      </c>
      <c r="M51" s="27" t="s">
        <v>83</v>
      </c>
      <c r="N51" s="51">
        <f>IF(N50&lt;=60,MIN(0.002,N50/UserInput!B19),(N50-60)/(100-60)*(0.004-0.002)+0.002)</f>
        <v>2E-3</v>
      </c>
      <c r="O51" s="48"/>
    </row>
    <row r="52" spans="1:15" x14ac:dyDescent="0.25">
      <c r="A52">
        <f t="shared" ref="A52:A63" si="7">A51+1</f>
        <v>2</v>
      </c>
      <c r="B52">
        <v>3124.8319032176641</v>
      </c>
      <c r="C52">
        <v>919.56623346681624</v>
      </c>
      <c r="D52">
        <v>9.4549379655973603E-5</v>
      </c>
      <c r="E52" s="27" t="s">
        <v>53</v>
      </c>
      <c r="G52" s="51">
        <f t="shared" ref="G52:G62" si="8">INDEX($E$3:$BB$15,A52,$N$53)</f>
        <v>0</v>
      </c>
      <c r="H52" s="28">
        <f t="shared" ref="H52:H62" si="9">IF(G52&lt;=$N$51,0.75,IF(G52&gt;=$N$52,0.9,(G52-$N$51)/($N$52-$N$51)*(0.9-0.75)+0.75))</f>
        <v>0.75</v>
      </c>
      <c r="I52" s="49">
        <f>MIN($I$51,H52*B52)</f>
        <v>2343.6239274132481</v>
      </c>
      <c r="J52" s="49">
        <f t="shared" ref="J52:J62" si="10">H52*C52</f>
        <v>689.67467510011215</v>
      </c>
      <c r="M52" s="27" t="s">
        <v>88</v>
      </c>
      <c r="N52" s="51">
        <f>IF(N50&lt;=75,0.005,(N50-75)/(100-75)*(0.008-0.005)+0.005)</f>
        <v>5.0000000000000001E-3</v>
      </c>
      <c r="O52" s="48"/>
    </row>
    <row r="53" spans="1:15" x14ac:dyDescent="0.25">
      <c r="A53">
        <f t="shared" si="7"/>
        <v>3</v>
      </c>
      <c r="B53">
        <v>2599.5148848668296</v>
      </c>
      <c r="C53">
        <v>1225.0062931338236</v>
      </c>
      <c r="D53">
        <v>1.1085099671431506E-4</v>
      </c>
      <c r="E53" s="29">
        <v>0.25</v>
      </c>
      <c r="G53" s="51">
        <f t="shared" si="8"/>
        <v>5.1724137931034452E-4</v>
      </c>
      <c r="H53" s="28">
        <f t="shared" si="9"/>
        <v>0.75</v>
      </c>
      <c r="I53" s="49">
        <f t="shared" ref="I53:I63" si="11">MIN($I$51,H53*B53)</f>
        <v>1949.6361636501222</v>
      </c>
      <c r="J53" s="49">
        <f t="shared" si="10"/>
        <v>918.75471985036779</v>
      </c>
      <c r="M53" s="54" t="s">
        <v>91</v>
      </c>
      <c r="N53" s="55">
        <f>MATCH(MAX(E8:BB8),E8:BB8,0)</f>
        <v>1</v>
      </c>
      <c r="O53" s="48"/>
    </row>
    <row r="54" spans="1:15" x14ac:dyDescent="0.25">
      <c r="A54">
        <f t="shared" si="7"/>
        <v>4</v>
      </c>
      <c r="B54">
        <v>2164.9645976885145</v>
      </c>
      <c r="C54">
        <v>1374.3822561370434</v>
      </c>
      <c r="D54">
        <v>1.2715261371374083E-4</v>
      </c>
      <c r="E54" s="29">
        <f>E53+0.25</f>
        <v>0.5</v>
      </c>
      <c r="G54" s="51">
        <f t="shared" si="8"/>
        <v>1.0344827586206895E-3</v>
      </c>
      <c r="H54" s="28">
        <f t="shared" si="9"/>
        <v>0.75</v>
      </c>
      <c r="I54" s="49">
        <f t="shared" si="11"/>
        <v>1623.7234482663857</v>
      </c>
      <c r="J54" s="49">
        <f t="shared" si="10"/>
        <v>1030.7866921027826</v>
      </c>
      <c r="M54" s="29"/>
      <c r="N54" s="48"/>
      <c r="O54" s="48"/>
    </row>
    <row r="55" spans="1:15" x14ac:dyDescent="0.25">
      <c r="A55">
        <f t="shared" si="7"/>
        <v>5</v>
      </c>
      <c r="B55">
        <v>1805.5684857316787</v>
      </c>
      <c r="C55">
        <v>1441.2241380358846</v>
      </c>
      <c r="D55">
        <v>1.4345423064558686E-4</v>
      </c>
      <c r="E55" s="29">
        <f>E54+0.25</f>
        <v>0.75</v>
      </c>
      <c r="G55" s="51">
        <f t="shared" si="8"/>
        <v>1.5517241379310349E-3</v>
      </c>
      <c r="H55" s="28">
        <f t="shared" si="9"/>
        <v>0.75</v>
      </c>
      <c r="I55" s="49">
        <f t="shared" si="11"/>
        <v>1354.1763642987589</v>
      </c>
      <c r="J55" s="49">
        <f t="shared" si="10"/>
        <v>1080.9181035269135</v>
      </c>
      <c r="M55" s="29"/>
      <c r="N55" s="48"/>
      <c r="O55" s="48"/>
    </row>
    <row r="56" spans="1:15" x14ac:dyDescent="0.25">
      <c r="A56">
        <f t="shared" si="7"/>
        <v>6</v>
      </c>
      <c r="B56">
        <v>1503.0847626831512</v>
      </c>
      <c r="C56">
        <v>1466.0020458080371</v>
      </c>
      <c r="D56">
        <v>1.5975584750118902E-4</v>
      </c>
      <c r="E56" s="30">
        <f>E55+0.25</f>
        <v>1</v>
      </c>
      <c r="G56" s="51">
        <f t="shared" si="8"/>
        <v>2.0689655172413794E-3</v>
      </c>
      <c r="H56" s="28">
        <f t="shared" si="9"/>
        <v>0.75344827586206897</v>
      </c>
      <c r="I56" s="49">
        <f t="shared" si="11"/>
        <v>1132.4966229181673</v>
      </c>
      <c r="J56" s="49">
        <f t="shared" si="10"/>
        <v>1104.5567138243314</v>
      </c>
      <c r="M56" s="30"/>
      <c r="N56" s="48"/>
      <c r="O56" s="48"/>
    </row>
    <row r="57" spans="1:15" x14ac:dyDescent="0.25">
      <c r="A57">
        <f t="shared" si="7"/>
        <v>7</v>
      </c>
      <c r="B57">
        <v>801.02554649650438</v>
      </c>
      <c r="C57">
        <v>1275.4741231405674</v>
      </c>
      <c r="D57">
        <v>2.2496231398787798E-4</v>
      </c>
      <c r="E57" s="30">
        <f>E56+1</f>
        <v>2</v>
      </c>
      <c r="G57" s="51">
        <f t="shared" si="8"/>
        <v>4.1379310344827587E-3</v>
      </c>
      <c r="H57" s="28">
        <f t="shared" si="9"/>
        <v>0.85689655172413792</v>
      </c>
      <c r="I57" s="49">
        <f t="shared" si="11"/>
        <v>686.39602863579773</v>
      </c>
      <c r="J57" s="49">
        <f t="shared" si="10"/>
        <v>1092.9493779325207</v>
      </c>
      <c r="M57" s="30"/>
      <c r="N57" s="48"/>
      <c r="O57" s="48"/>
    </row>
    <row r="58" spans="1:15" x14ac:dyDescent="0.25">
      <c r="A58">
        <f t="shared" si="7"/>
        <v>8</v>
      </c>
      <c r="B58">
        <v>410.36225897312693</v>
      </c>
      <c r="C58">
        <v>1047.0904574829449</v>
      </c>
      <c r="D58">
        <v>2.9016877856153994E-4</v>
      </c>
      <c r="E58" s="30">
        <f>E57+1</f>
        <v>3</v>
      </c>
      <c r="G58" s="51">
        <f t="shared" si="8"/>
        <v>6.2068965517241368E-3</v>
      </c>
      <c r="H58" s="28">
        <f t="shared" si="9"/>
        <v>0.9</v>
      </c>
      <c r="I58" s="49">
        <f t="shared" si="11"/>
        <v>369.32603307581422</v>
      </c>
      <c r="J58" s="49">
        <f t="shared" si="10"/>
        <v>942.38141173465044</v>
      </c>
      <c r="M58" s="30"/>
      <c r="N58" s="48"/>
      <c r="O58" s="48"/>
    </row>
    <row r="59" spans="1:15" x14ac:dyDescent="0.25">
      <c r="A59">
        <f t="shared" si="7"/>
        <v>9</v>
      </c>
      <c r="B59">
        <v>194.40427458585299</v>
      </c>
      <c r="C59">
        <v>866.53207954162554</v>
      </c>
      <c r="D59">
        <v>3.553752406676746E-4</v>
      </c>
      <c r="E59" s="30">
        <f>E58+1</f>
        <v>4</v>
      </c>
      <c r="G59" s="51">
        <f t="shared" si="8"/>
        <v>8.2758620689655192E-3</v>
      </c>
      <c r="H59" s="28">
        <f t="shared" si="9"/>
        <v>0.9</v>
      </c>
      <c r="I59" s="49">
        <f t="shared" si="11"/>
        <v>174.96384712726768</v>
      </c>
      <c r="J59" s="49">
        <f t="shared" si="10"/>
        <v>779.87887158746298</v>
      </c>
      <c r="M59" s="30"/>
      <c r="N59" s="48"/>
      <c r="O59" s="48"/>
    </row>
    <row r="60" spans="1:15" x14ac:dyDescent="0.25">
      <c r="A60">
        <f t="shared" si="7"/>
        <v>10</v>
      </c>
      <c r="B60">
        <v>-87.724651861078769</v>
      </c>
      <c r="C60">
        <v>604.25794669887762</v>
      </c>
      <c r="D60">
        <v>4.8578815525936062E-4</v>
      </c>
      <c r="E60" s="30">
        <f>E59+2</f>
        <v>6</v>
      </c>
      <c r="G60" s="51">
        <f t="shared" si="8"/>
        <v>1.2413793103448275E-2</v>
      </c>
      <c r="H60" s="28">
        <f t="shared" si="9"/>
        <v>0.9</v>
      </c>
      <c r="I60" s="49">
        <f t="shared" si="11"/>
        <v>-78.952186674970889</v>
      </c>
      <c r="J60" s="49">
        <f t="shared" si="10"/>
        <v>543.83215202898987</v>
      </c>
      <c r="M60" s="30"/>
      <c r="N60" s="48"/>
      <c r="O60" s="48"/>
    </row>
    <row r="61" spans="1:15" x14ac:dyDescent="0.25">
      <c r="A61">
        <f t="shared" si="7"/>
        <v>11</v>
      </c>
      <c r="B61">
        <v>-237.40714867469049</v>
      </c>
      <c r="C61">
        <v>447.61904136015829</v>
      </c>
      <c r="D61">
        <v>6.16201053326936E-4</v>
      </c>
      <c r="E61" s="30">
        <f>E60+2</f>
        <v>8</v>
      </c>
      <c r="G61" s="51">
        <f t="shared" si="8"/>
        <v>1.6551724137931031E-2</v>
      </c>
      <c r="H61" s="28">
        <f t="shared" si="9"/>
        <v>0.9</v>
      </c>
      <c r="I61" s="49">
        <f t="shared" si="11"/>
        <v>-213.66643380722144</v>
      </c>
      <c r="J61" s="49">
        <f t="shared" si="10"/>
        <v>402.85713722414249</v>
      </c>
      <c r="M61" s="30"/>
      <c r="N61" s="48"/>
      <c r="O61" s="48"/>
    </row>
    <row r="62" spans="1:15" x14ac:dyDescent="0.25">
      <c r="A62">
        <f t="shared" si="7"/>
        <v>12</v>
      </c>
      <c r="B62">
        <v>-323.88677800912546</v>
      </c>
      <c r="C62">
        <v>346.46901384466645</v>
      </c>
      <c r="D62">
        <v>7.4661393043440381E-4</v>
      </c>
      <c r="E62" s="30">
        <f>E61+2</f>
        <v>10</v>
      </c>
      <c r="G62" s="51">
        <f t="shared" si="8"/>
        <v>2.0689655172413793E-2</v>
      </c>
      <c r="H62" s="28">
        <f t="shared" si="9"/>
        <v>0.9</v>
      </c>
      <c r="I62" s="49">
        <f t="shared" si="11"/>
        <v>-291.49810020821292</v>
      </c>
      <c r="J62" s="49">
        <f t="shared" si="10"/>
        <v>311.82211246019983</v>
      </c>
      <c r="M62" s="30"/>
      <c r="N62" s="48"/>
      <c r="O62" s="48"/>
    </row>
    <row r="63" spans="1:15" x14ac:dyDescent="0.25">
      <c r="A63">
        <f t="shared" si="7"/>
        <v>13</v>
      </c>
      <c r="B63">
        <v>-599.59683404177906</v>
      </c>
      <c r="C63">
        <v>-5.6843418860808015E-14</v>
      </c>
      <c r="D63" t="s">
        <v>45</v>
      </c>
      <c r="E63" t="s">
        <v>54</v>
      </c>
      <c r="G63" s="51">
        <f>INDEX($E$3:$BB$15,A63,$N$53)</f>
        <v>2.0689655172413794E-3</v>
      </c>
      <c r="H63" s="52">
        <v>0.9</v>
      </c>
      <c r="I63" s="49">
        <f t="shared" si="11"/>
        <v>-539.63715063760117</v>
      </c>
      <c r="J63" s="49">
        <f>H63*C63</f>
        <v>-5.1159076974727215E-14</v>
      </c>
      <c r="N63" s="48"/>
      <c r="O63" s="4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63"/>
  <sheetViews>
    <sheetView workbookViewId="0">
      <selection activeCell="J12" sqref="J12:K17"/>
    </sheetView>
  </sheetViews>
  <sheetFormatPr defaultRowHeight="15" x14ac:dyDescent="0.25"/>
  <sheetData>
    <row r="1" spans="1:18" x14ac:dyDescent="0.25">
      <c r="A1" s="13" t="s">
        <v>46</v>
      </c>
      <c r="E1" t="s">
        <v>47</v>
      </c>
      <c r="I1" s="27" t="s">
        <v>70</v>
      </c>
      <c r="J1">
        <f>UserInput!$B$5-J2</f>
        <v>5</v>
      </c>
      <c r="R1" s="34"/>
    </row>
    <row r="2" spans="1:18" x14ac:dyDescent="0.25">
      <c r="A2" t="s">
        <v>48</v>
      </c>
      <c r="B2" t="s">
        <v>49</v>
      </c>
      <c r="C2" t="s">
        <v>50</v>
      </c>
      <c r="D2" t="s">
        <v>51</v>
      </c>
      <c r="E2" t="s">
        <v>67</v>
      </c>
      <c r="F2" t="s">
        <v>68</v>
      </c>
      <c r="I2" s="27" t="s">
        <v>69</v>
      </c>
      <c r="J2">
        <f>INT(UserInput!$B$5/2+0.5)</f>
        <v>5</v>
      </c>
    </row>
    <row r="3" spans="1:18" x14ac:dyDescent="0.25">
      <c r="A3" t="s">
        <v>52</v>
      </c>
      <c r="B3" t="s">
        <v>45</v>
      </c>
      <c r="C3">
        <f>-UserInput!$B$12</f>
        <v>-3.0000000000000001E-3</v>
      </c>
      <c r="D3">
        <v>-3.0000000000000001E-3</v>
      </c>
      <c r="E3">
        <v>-3.0000000000000001E-3</v>
      </c>
      <c r="F3">
        <f>D3</f>
        <v>-3.0000000000000001E-3</v>
      </c>
      <c r="I3" s="27" t="s">
        <v>71</v>
      </c>
      <c r="J3" s="35">
        <f>UserInput!B21</f>
        <v>0.99932805673629865</v>
      </c>
      <c r="K3" s="35"/>
    </row>
    <row r="4" spans="1:18" x14ac:dyDescent="0.25">
      <c r="A4" s="27" t="s">
        <v>53</v>
      </c>
      <c r="B4" s="28">
        <f>(UserInput!$B$3-UserInput!$B$7-UserInput!$B$20/2)*(-C4/(D4-C4))</f>
        <v>32.436</v>
      </c>
      <c r="C4">
        <f>-UserInput!$B$12</f>
        <v>-3.0000000000000001E-3</v>
      </c>
      <c r="D4">
        <v>0</v>
      </c>
      <c r="E4">
        <f>(B4-UserInput!$B$7-UserInput!$B$20/2)/B4*C4</f>
        <v>-2.6703662597114316E-3</v>
      </c>
      <c r="F4">
        <f t="shared" ref="F4:F15" si="0">D4</f>
        <v>0</v>
      </c>
    </row>
    <row r="5" spans="1:18" x14ac:dyDescent="0.25">
      <c r="A5" s="29">
        <v>0.25</v>
      </c>
      <c r="B5" s="28">
        <f>(UserInput!$B$3-UserInput!$B$7-UserInput!$B$20/2)*(-C5/(D5-C5))</f>
        <v>27.666000000000004</v>
      </c>
      <c r="C5">
        <f>-UserInput!$B$12</f>
        <v>-3.0000000000000001E-3</v>
      </c>
      <c r="D5">
        <f>A5*UserInput!$B$18/UserInput!$B$19</f>
        <v>5.1724137931034484E-4</v>
      </c>
      <c r="E5">
        <f>(B5-UserInput!$B$7-UserInput!$B$20/2)/B5*C5</f>
        <v>-2.6135328562134031E-3</v>
      </c>
      <c r="F5">
        <f t="shared" si="0"/>
        <v>5.1724137931034484E-4</v>
      </c>
    </row>
    <row r="6" spans="1:18" x14ac:dyDescent="0.25">
      <c r="A6" s="29">
        <f>A5+0.25</f>
        <v>0.5</v>
      </c>
      <c r="B6" s="28">
        <f>(UserInput!$B$3-UserInput!$B$7-UserInput!$B$20/2)*(-C6/(D6-C6))</f>
        <v>24.119076923076925</v>
      </c>
      <c r="C6">
        <f>-UserInput!$B$12</f>
        <v>-3.0000000000000001E-3</v>
      </c>
      <c r="D6">
        <f>A6*UserInput!$B$18/UserInput!$B$19</f>
        <v>1.0344827586206897E-3</v>
      </c>
      <c r="E6">
        <f>(B6-UserInput!$B$7-UserInput!$B$20/2)/B6*C6</f>
        <v>-2.5566994527153738E-3</v>
      </c>
      <c r="F6">
        <f t="shared" si="0"/>
        <v>1.0344827586206897E-3</v>
      </c>
    </row>
    <row r="7" spans="1:18" x14ac:dyDescent="0.25">
      <c r="A7" s="29">
        <f>A6+0.25</f>
        <v>0.75</v>
      </c>
      <c r="B7" s="28">
        <f>(UserInput!$B$3-UserInput!$B$7-UserInput!$B$20/2)*(-C7/(D7-C7))</f>
        <v>21.378272727272726</v>
      </c>
      <c r="C7">
        <f>-UserInput!$B$12</f>
        <v>-3.0000000000000001E-3</v>
      </c>
      <c r="D7">
        <f>A7*UserInput!$B$18/UserInput!$B$19</f>
        <v>1.5517241379310344E-3</v>
      </c>
      <c r="E7">
        <f>(B7-UserInput!$B$7-UserInput!$B$20/2)/B7*C7</f>
        <v>-2.4998660492173445E-3</v>
      </c>
      <c r="F7">
        <f t="shared" si="0"/>
        <v>1.5517241379310344E-3</v>
      </c>
    </row>
    <row r="8" spans="1:18" x14ac:dyDescent="0.25">
      <c r="A8" s="30">
        <f>A7+0.25</f>
        <v>1</v>
      </c>
      <c r="B8" s="28">
        <f>(UserInput!$B$3-UserInput!$B$7-UserInput!$B$20/2)*(-C8/(D8-C8))</f>
        <v>19.196816326530612</v>
      </c>
      <c r="C8">
        <f>-UserInput!$B$12</f>
        <v>-3.0000000000000001E-3</v>
      </c>
      <c r="D8">
        <f>A8*UserInput!$B$18/UserInput!$B$19</f>
        <v>2.0689655172413794E-3</v>
      </c>
      <c r="E8">
        <f>(B8-UserInput!$B$7-UserInput!$B$20/2)/B8*C8</f>
        <v>-2.4430326457193156E-3</v>
      </c>
      <c r="F8">
        <f t="shared" si="0"/>
        <v>2.0689655172413794E-3</v>
      </c>
    </row>
    <row r="9" spans="1:18" x14ac:dyDescent="0.25">
      <c r="A9" s="30">
        <f>A8+1</f>
        <v>2</v>
      </c>
      <c r="B9" s="28">
        <f>(UserInput!$B$3-UserInput!$B$7-UserInput!$B$20/2)*(-C9/(D9-C9))</f>
        <v>13.632521739130434</v>
      </c>
      <c r="C9">
        <f>-UserInput!$B$12</f>
        <v>-3.0000000000000001E-3</v>
      </c>
      <c r="D9">
        <f>A9*UserInput!$B$18/UserInput!$B$19</f>
        <v>4.1379310344827587E-3</v>
      </c>
      <c r="E9">
        <f>(B9-UserInput!$B$7-UserInput!$B$20/2)/B9*C9</f>
        <v>-2.2156990317271997E-3</v>
      </c>
      <c r="F9">
        <f t="shared" si="0"/>
        <v>4.1379310344827587E-3</v>
      </c>
    </row>
    <row r="10" spans="1:18" x14ac:dyDescent="0.25">
      <c r="A10" s="30">
        <f>A9+1</f>
        <v>3</v>
      </c>
      <c r="B10" s="28">
        <f>(UserInput!$B$3-UserInput!$B$7-UserInput!$B$20/2)*(-C10/(D10-C10))</f>
        <v>10.569033707865168</v>
      </c>
      <c r="C10">
        <f>-UserInput!$B$12</f>
        <v>-3.0000000000000001E-3</v>
      </c>
      <c r="D10">
        <f>A10*UserInput!$B$18/UserInput!$B$19</f>
        <v>6.2068965517241377E-3</v>
      </c>
      <c r="E10">
        <f>(B10-UserInput!$B$7-UserInput!$B$20/2)/B10*C10</f>
        <v>-1.9883654177350837E-3</v>
      </c>
      <c r="F10">
        <f t="shared" si="0"/>
        <v>6.2068965517241377E-3</v>
      </c>
    </row>
    <row r="11" spans="1:18" x14ac:dyDescent="0.25">
      <c r="A11" s="30">
        <f>A10+1</f>
        <v>4</v>
      </c>
      <c r="B11" s="28">
        <f>(UserInput!$B$3-UserInput!$B$7-UserInput!$B$20/2)*(-C11/(D11-C11))</f>
        <v>8.6297614678899066</v>
      </c>
      <c r="C11">
        <f>-UserInput!$B$12</f>
        <v>-3.0000000000000001E-3</v>
      </c>
      <c r="D11">
        <f>A11*UserInput!$B$18/UserInput!$B$19</f>
        <v>8.2758620689655175E-3</v>
      </c>
      <c r="E11">
        <f>(B11-UserInput!$B$7-UserInput!$B$20/2)/B11*C11</f>
        <v>-1.7610318037429675E-3</v>
      </c>
      <c r="F11">
        <f t="shared" si="0"/>
        <v>8.2758620689655175E-3</v>
      </c>
    </row>
    <row r="12" spans="1:18" x14ac:dyDescent="0.25">
      <c r="A12" s="30">
        <f>A11+2</f>
        <v>6</v>
      </c>
      <c r="B12" s="28">
        <f>(UserInput!$B$3-UserInput!$B$7-UserInput!$B$20/2)*(-C12/(D12-C12))</f>
        <v>6.3130469798657716</v>
      </c>
      <c r="C12">
        <f>-UserInput!$B$12</f>
        <v>-3.0000000000000001E-3</v>
      </c>
      <c r="D12">
        <f>A12*UserInput!$B$18/UserInput!$B$19</f>
        <v>1.2413793103448275E-2</v>
      </c>
      <c r="E12">
        <f>(B12-UserInput!$B$7-UserInput!$B$20/2)/B12*C12</f>
        <v>-1.3063645757587356E-3</v>
      </c>
      <c r="F12">
        <f t="shared" si="0"/>
        <v>1.2413793103448275E-2</v>
      </c>
    </row>
    <row r="13" spans="1:18" x14ac:dyDescent="0.25">
      <c r="A13" s="30">
        <f>A12+2</f>
        <v>8</v>
      </c>
      <c r="B13" s="28">
        <f>(UserInput!$B$3-UserInput!$B$7-UserInput!$B$20/2)*(-C13/(D13-C13))</f>
        <v>4.9769523809523815</v>
      </c>
      <c r="C13">
        <f>-UserInput!$B$12</f>
        <v>-3.0000000000000001E-3</v>
      </c>
      <c r="D13">
        <f>A13*UserInput!$B$18/UserInput!$B$19</f>
        <v>1.6551724137931035E-2</v>
      </c>
      <c r="E13">
        <f>(B13-UserInput!$B$7-UserInput!$B$20/2)/B13*C13</f>
        <v>-8.5169734777450353E-4</v>
      </c>
      <c r="F13">
        <f t="shared" si="0"/>
        <v>1.6551724137931035E-2</v>
      </c>
    </row>
    <row r="14" spans="1:18" x14ac:dyDescent="0.25">
      <c r="A14" s="30">
        <f>A13+2</f>
        <v>10</v>
      </c>
      <c r="B14" s="28">
        <f>(UserInput!$B$3-UserInput!$B$7-UserInput!$B$20/2)*(-C14/(D14-C14))</f>
        <v>4.1076157205240182</v>
      </c>
      <c r="C14">
        <f>-UserInput!$B$12</f>
        <v>-3.0000000000000001E-3</v>
      </c>
      <c r="D14">
        <f>A14*UserInput!$B$18/UserInput!$B$19</f>
        <v>2.0689655172413793E-2</v>
      </c>
      <c r="E14">
        <f>(B14-UserInput!$B$7-UserInput!$B$20/2)/B14*C14</f>
        <v>-3.9703011979027193E-4</v>
      </c>
      <c r="F14">
        <f t="shared" si="0"/>
        <v>2.0689655172413793E-2</v>
      </c>
    </row>
    <row r="15" spans="1:18" x14ac:dyDescent="0.25">
      <c r="A15" t="s">
        <v>54</v>
      </c>
      <c r="B15" t="s">
        <v>45</v>
      </c>
      <c r="C15">
        <f>-UserInput!$B$12</f>
        <v>-3.0000000000000001E-3</v>
      </c>
      <c r="D15">
        <v>2.0689655172413794E-3</v>
      </c>
      <c r="E15">
        <f>D15</f>
        <v>2.0689655172413794E-3</v>
      </c>
      <c r="F15">
        <f t="shared" si="0"/>
        <v>2.0689655172413794E-3</v>
      </c>
    </row>
    <row r="17" spans="1:6" x14ac:dyDescent="0.25">
      <c r="A17" s="13" t="s">
        <v>55</v>
      </c>
    </row>
    <row r="18" spans="1:6" x14ac:dyDescent="0.25">
      <c r="A18" t="s">
        <v>28</v>
      </c>
      <c r="B18" t="s">
        <v>49</v>
      </c>
      <c r="C18" t="s">
        <v>56</v>
      </c>
      <c r="D18" t="s">
        <v>57</v>
      </c>
      <c r="E18" t="s">
        <v>67</v>
      </c>
      <c r="F18" t="s">
        <v>68</v>
      </c>
    </row>
    <row r="19" spans="1:6" x14ac:dyDescent="0.25">
      <c r="A19">
        <v>1</v>
      </c>
      <c r="B19" t="s">
        <v>45</v>
      </c>
      <c r="C19">
        <f>0.85*UserInput!$B$11</f>
        <v>3.4</v>
      </c>
      <c r="D19">
        <f>IF(D3&lt;-UserInput!$B$18/UserInput!$B$19,-UserInput!$B$18,IF(D3&gt;UserInput!$B$18/UserInput!$B$19,UserInput!$B$18,'Calculations Rectangular'!D3*UserInput!$B$19))</f>
        <v>-60</v>
      </c>
      <c r="E19">
        <f>IF(E3&lt;-UserInput!$B$18/UserInput!$B$19,-UserInput!$B$18,IF(E3&gt;UserInput!$B$18/UserInput!$B$19,UserInput!$B$18,'Calculations Rectangular'!E3*UserInput!$B$19))</f>
        <v>-60</v>
      </c>
      <c r="F19">
        <f>IF(F3&lt;-UserInput!$B$18/UserInput!$B$19,-UserInput!$B$18,IF(F3&gt;UserInput!$B$18/UserInput!$B$19,UserInput!$B$18,'Calculations Rectangular'!F3*UserInput!$B$19))</f>
        <v>-60</v>
      </c>
    </row>
    <row r="20" spans="1:6" x14ac:dyDescent="0.25">
      <c r="A20">
        <f t="shared" ref="A20:A31" si="1">A19+1</f>
        <v>2</v>
      </c>
      <c r="B20" s="28">
        <f t="shared" ref="B20:B31" si="2">B4</f>
        <v>32.436</v>
      </c>
      <c r="C20">
        <f>$C$19</f>
        <v>3.4</v>
      </c>
      <c r="D20">
        <f>IF(D4&lt;-UserInput!$B$18/UserInput!$B$19,-UserInput!$B$18,IF(D4&gt;UserInput!$B$18/UserInput!$B$19,UserInput!$B$18,'Calculations Rectangular'!D4*UserInput!$B$19))</f>
        <v>0</v>
      </c>
      <c r="E20">
        <f>IF(E4&lt;-UserInput!$B$18/UserInput!$B$19,-UserInput!$B$18,IF(E4&gt;UserInput!$B$18/UserInput!$B$19,UserInput!$B$18,'Calculations Rectangular'!E4*UserInput!$B$19))</f>
        <v>-60</v>
      </c>
      <c r="F20">
        <f>IF(F4&lt;-UserInput!$B$18/UserInput!$B$19,-UserInput!$B$18,IF(F4&gt;UserInput!$B$18/UserInput!$B$19,UserInput!$B$18,'Calculations Rectangular'!F4*UserInput!$B$19))</f>
        <v>0</v>
      </c>
    </row>
    <row r="21" spans="1:6" x14ac:dyDescent="0.25">
      <c r="A21">
        <f t="shared" si="1"/>
        <v>3</v>
      </c>
      <c r="B21" s="28">
        <f t="shared" si="2"/>
        <v>27.666000000000004</v>
      </c>
      <c r="C21">
        <f t="shared" ref="C21:C31" si="3">$C$19</f>
        <v>3.4</v>
      </c>
      <c r="D21">
        <f>IF(D5&lt;-UserInput!$B$18/UserInput!$B$19,-UserInput!$B$18,IF(D5&gt;UserInput!$B$18/UserInput!$B$19,UserInput!$B$18,'Calculations Rectangular'!D5*UserInput!$B$19))</f>
        <v>15</v>
      </c>
      <c r="E21">
        <f>IF(E5&lt;-UserInput!$B$18/UserInput!$B$19,-UserInput!$B$18,IF(E5&gt;UserInput!$B$18/UserInput!$B$19,UserInput!$B$18,'Calculations Rectangular'!E5*UserInput!$B$19))</f>
        <v>-60</v>
      </c>
      <c r="F21">
        <f>IF(F5&lt;-UserInput!$B$18/UserInput!$B$19,-UserInput!$B$18,IF(F5&gt;UserInput!$B$18/UserInput!$B$19,UserInput!$B$18,'Calculations Rectangular'!F5*UserInput!$B$19))</f>
        <v>15</v>
      </c>
    </row>
    <row r="22" spans="1:6" x14ac:dyDescent="0.25">
      <c r="A22">
        <f t="shared" si="1"/>
        <v>4</v>
      </c>
      <c r="B22" s="28">
        <f t="shared" si="2"/>
        <v>24.119076923076925</v>
      </c>
      <c r="C22">
        <f t="shared" si="3"/>
        <v>3.4</v>
      </c>
      <c r="D22">
        <f>IF(D6&lt;-UserInput!$B$18/UserInput!$B$19,-UserInput!$B$18,IF(D6&gt;UserInput!$B$18/UserInput!$B$19,UserInput!$B$18,'Calculations Rectangular'!D6*UserInput!$B$19))</f>
        <v>30</v>
      </c>
      <c r="E22">
        <f>IF(E6&lt;-UserInput!$B$18/UserInput!$B$19,-UserInput!$B$18,IF(E6&gt;UserInput!$B$18/UserInput!$B$19,UserInput!$B$18,'Calculations Rectangular'!E6*UserInput!$B$19))</f>
        <v>-60</v>
      </c>
      <c r="F22">
        <f>IF(F6&lt;-UserInput!$B$18/UserInput!$B$19,-UserInput!$B$18,IF(F6&gt;UserInput!$B$18/UserInput!$B$19,UserInput!$B$18,'Calculations Rectangular'!F6*UserInput!$B$19))</f>
        <v>30</v>
      </c>
    </row>
    <row r="23" spans="1:6" x14ac:dyDescent="0.25">
      <c r="A23">
        <f t="shared" si="1"/>
        <v>5</v>
      </c>
      <c r="B23" s="28">
        <f t="shared" si="2"/>
        <v>21.378272727272726</v>
      </c>
      <c r="C23">
        <f t="shared" si="3"/>
        <v>3.4</v>
      </c>
      <c r="D23">
        <f>IF(D7&lt;-UserInput!$B$18/UserInput!$B$19,-UserInput!$B$18,IF(D7&gt;UserInput!$B$18/UserInput!$B$19,UserInput!$B$18,'Calculations Rectangular'!D7*UserInput!$B$19))</f>
        <v>45</v>
      </c>
      <c r="E23">
        <f>IF(E7&lt;-UserInput!$B$18/UserInput!$B$19,-UserInput!$B$18,IF(E7&gt;UserInput!$B$18/UserInput!$B$19,UserInput!$B$18,'Calculations Rectangular'!E7*UserInput!$B$19))</f>
        <v>-60</v>
      </c>
      <c r="F23">
        <f>IF(F7&lt;-UserInput!$B$18/UserInput!$B$19,-UserInput!$B$18,IF(F7&gt;UserInput!$B$18/UserInput!$B$19,UserInput!$B$18,'Calculations Rectangular'!F7*UserInput!$B$19))</f>
        <v>45</v>
      </c>
    </row>
    <row r="24" spans="1:6" x14ac:dyDescent="0.25">
      <c r="A24">
        <f t="shared" si="1"/>
        <v>6</v>
      </c>
      <c r="B24" s="28">
        <f t="shared" si="2"/>
        <v>19.196816326530612</v>
      </c>
      <c r="C24">
        <f t="shared" si="3"/>
        <v>3.4</v>
      </c>
      <c r="D24">
        <f>IF(D8&lt;-UserInput!$B$18/UserInput!$B$19,-UserInput!$B$18,IF(D8&gt;UserInput!$B$18/UserInput!$B$19,UserInput!$B$18,'Calculations Rectangular'!D8*UserInput!$B$19))</f>
        <v>60</v>
      </c>
      <c r="E24">
        <f>IF(E8&lt;-UserInput!$B$18/UserInput!$B$19,-UserInput!$B$18,IF(E8&gt;UserInput!$B$18/UserInput!$B$19,UserInput!$B$18,'Calculations Rectangular'!E8*UserInput!$B$19))</f>
        <v>-60</v>
      </c>
      <c r="F24">
        <f>IF(F8&lt;-UserInput!$B$18/UserInput!$B$19,-UserInput!$B$18,IF(F8&gt;UserInput!$B$18/UserInput!$B$19,UserInput!$B$18,'Calculations Rectangular'!F8*UserInput!$B$19))</f>
        <v>60</v>
      </c>
    </row>
    <row r="25" spans="1:6" x14ac:dyDescent="0.25">
      <c r="A25">
        <f t="shared" si="1"/>
        <v>7</v>
      </c>
      <c r="B25" s="28">
        <f t="shared" si="2"/>
        <v>13.632521739130434</v>
      </c>
      <c r="C25">
        <f t="shared" si="3"/>
        <v>3.4</v>
      </c>
      <c r="D25">
        <f>IF(D9&lt;-UserInput!$B$18/UserInput!$B$19,-UserInput!$B$18,IF(D9&gt;UserInput!$B$18/UserInput!$B$19,UserInput!$B$18,'Calculations Rectangular'!D9*UserInput!$B$19))</f>
        <v>60</v>
      </c>
      <c r="E25">
        <f>IF(E9&lt;-UserInput!$B$18/UserInput!$B$19,-UserInput!$B$18,IF(E9&gt;UserInput!$B$18/UserInput!$B$19,UserInput!$B$18,'Calculations Rectangular'!E9*UserInput!$B$19))</f>
        <v>-60</v>
      </c>
      <c r="F25">
        <f>IF(F9&lt;-UserInput!$B$18/UserInput!$B$19,-UserInput!$B$18,IF(F9&gt;UserInput!$B$18/UserInput!$B$19,UserInput!$B$18,'Calculations Rectangular'!F9*UserInput!$B$19))</f>
        <v>60</v>
      </c>
    </row>
    <row r="26" spans="1:6" x14ac:dyDescent="0.25">
      <c r="A26">
        <f t="shared" si="1"/>
        <v>8</v>
      </c>
      <c r="B26" s="28">
        <f t="shared" si="2"/>
        <v>10.569033707865168</v>
      </c>
      <c r="C26">
        <f t="shared" si="3"/>
        <v>3.4</v>
      </c>
      <c r="D26">
        <f>IF(D10&lt;-UserInput!$B$18/UserInput!$B$19,-UserInput!$B$18,IF(D10&gt;UserInput!$B$18/UserInput!$B$19,UserInput!$B$18,'Calculations Rectangular'!D10*UserInput!$B$19))</f>
        <v>60</v>
      </c>
      <c r="E26">
        <f>IF(E10&lt;-UserInput!$B$18/UserInput!$B$19,-UserInput!$B$18,IF(E10&gt;UserInput!$B$18/UserInput!$B$19,UserInput!$B$18,'Calculations Rectangular'!E10*UserInput!$B$19))</f>
        <v>-57.662597114317428</v>
      </c>
      <c r="F26">
        <f>IF(F10&lt;-UserInput!$B$18/UserInput!$B$19,-UserInput!$B$18,IF(F10&gt;UserInput!$B$18/UserInput!$B$19,UserInput!$B$18,'Calculations Rectangular'!F10*UserInput!$B$19))</f>
        <v>60</v>
      </c>
    </row>
    <row r="27" spans="1:6" x14ac:dyDescent="0.25">
      <c r="A27">
        <f t="shared" si="1"/>
        <v>9</v>
      </c>
      <c r="B27" s="28">
        <f t="shared" si="2"/>
        <v>8.6297614678899066</v>
      </c>
      <c r="C27">
        <f t="shared" si="3"/>
        <v>3.4</v>
      </c>
      <c r="D27">
        <f>IF(D11&lt;-UserInput!$B$18/UserInput!$B$19,-UserInput!$B$18,IF(D11&gt;UserInput!$B$18/UserInput!$B$19,UserInput!$B$18,'Calculations Rectangular'!D11*UserInput!$B$19))</f>
        <v>60</v>
      </c>
      <c r="E27">
        <f>IF(E11&lt;-UserInput!$B$18/UserInput!$B$19,-UserInput!$B$18,IF(E11&gt;UserInput!$B$18/UserInput!$B$19,UserInput!$B$18,'Calculations Rectangular'!E11*UserInput!$B$19))</f>
        <v>-51.069922308546055</v>
      </c>
      <c r="F27">
        <f>IF(F11&lt;-UserInput!$B$18/UserInput!$B$19,-UserInput!$B$18,IF(F11&gt;UserInput!$B$18/UserInput!$B$19,UserInput!$B$18,'Calculations Rectangular'!F11*UserInput!$B$19))</f>
        <v>60</v>
      </c>
    </row>
    <row r="28" spans="1:6" x14ac:dyDescent="0.25">
      <c r="A28">
        <f t="shared" si="1"/>
        <v>10</v>
      </c>
      <c r="B28" s="28">
        <f t="shared" si="2"/>
        <v>6.3130469798657716</v>
      </c>
      <c r="C28">
        <f t="shared" si="3"/>
        <v>3.4</v>
      </c>
      <c r="D28">
        <f>IF(D12&lt;-UserInput!$B$18/UserInput!$B$19,-UserInput!$B$18,IF(D12&gt;UserInput!$B$18/UserInput!$B$19,UserInput!$B$18,'Calculations Rectangular'!D12*UserInput!$B$19))</f>
        <v>60</v>
      </c>
      <c r="E28">
        <f>IF(E12&lt;-UserInput!$B$18/UserInput!$B$19,-UserInput!$B$18,IF(E12&gt;UserInput!$B$18/UserInput!$B$19,UserInput!$B$18,'Calculations Rectangular'!E12*UserInput!$B$19))</f>
        <v>-37.884572697003328</v>
      </c>
      <c r="F28">
        <f>IF(F12&lt;-UserInput!$B$18/UserInput!$B$19,-UserInput!$B$18,IF(F12&gt;UserInput!$B$18/UserInput!$B$19,UserInput!$B$18,'Calculations Rectangular'!F12*UserInput!$B$19))</f>
        <v>60</v>
      </c>
    </row>
    <row r="29" spans="1:6" x14ac:dyDescent="0.25">
      <c r="A29">
        <f t="shared" si="1"/>
        <v>11</v>
      </c>
      <c r="B29" s="28">
        <f t="shared" si="2"/>
        <v>4.9769523809523815</v>
      </c>
      <c r="C29">
        <f t="shared" si="3"/>
        <v>3.4</v>
      </c>
      <c r="D29">
        <f>IF(D13&lt;-UserInput!$B$18/UserInput!$B$19,-UserInput!$B$18,IF(D13&gt;UserInput!$B$18/UserInput!$B$19,UserInput!$B$18,'Calculations Rectangular'!D13*UserInput!$B$19))</f>
        <v>60</v>
      </c>
      <c r="E29">
        <f>IF(E13&lt;-UserInput!$B$18/UserInput!$B$19,-UserInput!$B$18,IF(E13&gt;UserInput!$B$18/UserInput!$B$19,UserInput!$B$18,'Calculations Rectangular'!E13*UserInput!$B$19))</f>
        <v>-24.699223085460602</v>
      </c>
      <c r="F29">
        <f>IF(F13&lt;-UserInput!$B$18/UserInput!$B$19,-UserInput!$B$18,IF(F13&gt;UserInput!$B$18/UserInput!$B$19,UserInput!$B$18,'Calculations Rectangular'!F13*UserInput!$B$19))</f>
        <v>60</v>
      </c>
    </row>
    <row r="30" spans="1:6" x14ac:dyDescent="0.25">
      <c r="A30">
        <f t="shared" si="1"/>
        <v>12</v>
      </c>
      <c r="B30" s="28">
        <f t="shared" si="2"/>
        <v>4.1076157205240182</v>
      </c>
      <c r="C30">
        <f t="shared" si="3"/>
        <v>3.4</v>
      </c>
      <c r="D30">
        <f>IF(D14&lt;-UserInput!$B$18/UserInput!$B$19,-UserInput!$B$18,IF(D14&gt;UserInput!$B$18/UserInput!$B$19,UserInput!$B$18,'Calculations Rectangular'!D14*UserInput!$B$19))</f>
        <v>60</v>
      </c>
      <c r="E30">
        <f>IF(E14&lt;-UserInput!$B$18/UserInput!$B$19,-UserInput!$B$18,IF(E14&gt;UserInput!$B$18/UserInput!$B$19,UserInput!$B$18,'Calculations Rectangular'!E14*UserInput!$B$19))</f>
        <v>-11.513873473917887</v>
      </c>
      <c r="F30">
        <f>IF(F14&lt;-UserInput!$B$18/UserInput!$B$19,-UserInput!$B$18,IF(F14&gt;UserInput!$B$18/UserInput!$B$19,UserInput!$B$18,'Calculations Rectangular'!F14*UserInput!$B$19))</f>
        <v>60</v>
      </c>
    </row>
    <row r="31" spans="1:6" x14ac:dyDescent="0.25">
      <c r="A31">
        <f t="shared" si="1"/>
        <v>13</v>
      </c>
      <c r="B31" s="28" t="str">
        <f t="shared" si="2"/>
        <v>N/A</v>
      </c>
      <c r="C31">
        <f t="shared" si="3"/>
        <v>3.4</v>
      </c>
      <c r="D31">
        <f>IF(D15&lt;-UserInput!$B$18/UserInput!$B$19,-UserInput!$B$18,IF(D15&gt;UserInput!$B$18/UserInput!$B$19,UserInput!$B$18,'Calculations Rectangular'!D15*UserInput!$B$19))</f>
        <v>60</v>
      </c>
      <c r="E31">
        <f>IF(E15&lt;-UserInput!$B$18/UserInput!$B$19,-UserInput!$B$18,IF(E15&gt;UserInput!$B$18/UserInput!$B$19,UserInput!$B$18,'Calculations Rectangular'!E15*UserInput!$B$19))</f>
        <v>60</v>
      </c>
      <c r="F31">
        <f>IF(F15&lt;-UserInput!$B$18/UserInput!$B$19,-UserInput!$B$18,IF(F15&gt;UserInput!$B$18/UserInput!$B$19,UserInput!$B$18,'Calculations Rectangular'!F15*UserInput!$B$19))</f>
        <v>60</v>
      </c>
    </row>
    <row r="33" spans="1:11" x14ac:dyDescent="0.25">
      <c r="A33" s="13" t="s">
        <v>58</v>
      </c>
    </row>
    <row r="34" spans="1:11" x14ac:dyDescent="0.25">
      <c r="A34" t="s">
        <v>28</v>
      </c>
      <c r="B34" t="s">
        <v>49</v>
      </c>
      <c r="C34" t="s">
        <v>59</v>
      </c>
      <c r="D34" t="s">
        <v>60</v>
      </c>
      <c r="E34" s="14" t="s">
        <v>61</v>
      </c>
      <c r="F34" s="14" t="s">
        <v>63</v>
      </c>
      <c r="G34" t="s">
        <v>72</v>
      </c>
      <c r="H34" t="s">
        <v>73</v>
      </c>
      <c r="I34" s="14" t="s">
        <v>64</v>
      </c>
      <c r="J34" t="s">
        <v>67</v>
      </c>
      <c r="K34" t="s">
        <v>68</v>
      </c>
    </row>
    <row r="35" spans="1:11" x14ac:dyDescent="0.25">
      <c r="A35">
        <v>1</v>
      </c>
      <c r="B35" t="s">
        <v>45</v>
      </c>
      <c r="C35" t="s">
        <v>45</v>
      </c>
      <c r="D35" s="14">
        <f>UserInput!$B$21*UserInput!$B$5</f>
        <v>9.9932805673629872</v>
      </c>
      <c r="E35" s="31">
        <f>UserInput!$B$15</f>
        <v>1007.88273919573</v>
      </c>
      <c r="F35" s="14">
        <v>0</v>
      </c>
      <c r="G35">
        <v>0</v>
      </c>
      <c r="H35">
        <v>0</v>
      </c>
      <c r="I35" s="14">
        <f t="shared" ref="I35:I47" si="4">-E35*C19</f>
        <v>-3426.8013132654819</v>
      </c>
      <c r="J35" s="14">
        <f t="shared" ref="J35:J47" si="5">E19*$J$1*$J$3</f>
        <v>-299.79841702088959</v>
      </c>
      <c r="K35" s="14">
        <f t="shared" ref="K35:K47" si="6">F19*$J$2*$J$3</f>
        <v>-299.79841702088959</v>
      </c>
    </row>
    <row r="36" spans="1:11" x14ac:dyDescent="0.25">
      <c r="A36">
        <f t="shared" ref="A36:A47" si="7">A35+1</f>
        <v>2</v>
      </c>
      <c r="B36" s="28">
        <f t="shared" ref="B36:B47" si="8">B20</f>
        <v>32.436</v>
      </c>
      <c r="C36">
        <f>B36*UserInput!$B$14</f>
        <v>27.570599999999999</v>
      </c>
      <c r="D36" s="14">
        <f>UserInput!$B$21*(IF(E20&lt;0,$J$1,0)+IF(F20&lt;0,$J$2,0))</f>
        <v>4.9966402836814936</v>
      </c>
      <c r="E36" s="14">
        <f>C36*UserInput!$B$4-IF(J36&lt;0,$J$1*$J$3)-IF(K36&lt;0,$J$2*$J$3)</f>
        <v>656.6977597163185</v>
      </c>
      <c r="F36" s="14">
        <f>UserInput!$B$3/2-C36/2</f>
        <v>4.2147000000000006</v>
      </c>
      <c r="G36">
        <f>UserInput!$B$3/2-UserInput!$B$7-UserInput!$B$20/2</f>
        <v>14.436</v>
      </c>
      <c r="H36">
        <f>UserInput!$B$3/2-UserInput!$B$7-UserInput!$B$20/2</f>
        <v>14.436</v>
      </c>
      <c r="I36" s="14">
        <f t="shared" si="4"/>
        <v>-2232.772383035483</v>
      </c>
      <c r="J36" s="14">
        <f t="shared" si="5"/>
        <v>-299.79841702088959</v>
      </c>
      <c r="K36" s="14">
        <f t="shared" si="6"/>
        <v>0</v>
      </c>
    </row>
    <row r="37" spans="1:11" x14ac:dyDescent="0.25">
      <c r="A37">
        <f t="shared" si="7"/>
        <v>3</v>
      </c>
      <c r="B37" s="28">
        <f t="shared" si="8"/>
        <v>27.666000000000004</v>
      </c>
      <c r="C37">
        <f>B37*UserInput!$B$14</f>
        <v>23.516100000000002</v>
      </c>
      <c r="D37" s="14">
        <f>UserInput!$B$21*(IF(E21&lt;0,$J$1,0)+IF(F21&lt;0,$J$2,0))</f>
        <v>4.9966402836814936</v>
      </c>
      <c r="E37" s="14">
        <f>C37*UserInput!$B$4-IF(J37&lt;0,$J$1*$J$3)-IF(K37&lt;0,$J$2*$J$3)</f>
        <v>559.38975971631862</v>
      </c>
      <c r="F37" s="14">
        <f>UserInput!$B$3/2-C37/2</f>
        <v>6.2419499999999992</v>
      </c>
      <c r="G37">
        <f>UserInput!$B$3/2-UserInput!$B$7-UserInput!$B$20/2</f>
        <v>14.436</v>
      </c>
      <c r="H37">
        <f>UserInput!$B$3/2-UserInput!$B$7-UserInput!$B$20/2</f>
        <v>14.436</v>
      </c>
      <c r="I37" s="14">
        <f t="shared" si="4"/>
        <v>-1901.9251830354833</v>
      </c>
      <c r="J37" s="14">
        <f t="shared" si="5"/>
        <v>-299.79841702088959</v>
      </c>
      <c r="K37" s="14">
        <f t="shared" si="6"/>
        <v>74.949604255222397</v>
      </c>
    </row>
    <row r="38" spans="1:11" x14ac:dyDescent="0.25">
      <c r="A38">
        <f t="shared" si="7"/>
        <v>4</v>
      </c>
      <c r="B38" s="28">
        <f t="shared" si="8"/>
        <v>24.119076923076925</v>
      </c>
      <c r="C38">
        <f>B38*UserInput!$B$14</f>
        <v>20.501215384615385</v>
      </c>
      <c r="D38" s="14">
        <f>UserInput!$B$21*(IF(E22&lt;0,$J$1,0)+IF(F22&lt;0,$J$2,0))</f>
        <v>4.9966402836814936</v>
      </c>
      <c r="E38" s="14">
        <f>C38*UserInput!$B$4-IF(J38&lt;0,$J$1*$J$3)-IF(K38&lt;0,$J$2*$J$3)</f>
        <v>487.03252894708777</v>
      </c>
      <c r="F38" s="14">
        <f>UserInput!$B$3/2-C38/2</f>
        <v>7.7493923076923075</v>
      </c>
      <c r="G38">
        <f>UserInput!$B$3/2-UserInput!$B$7-UserInput!$B$20/2</f>
        <v>14.436</v>
      </c>
      <c r="H38">
        <f>UserInput!$B$3/2-UserInput!$B$7-UserInput!$B$20/2</f>
        <v>14.436</v>
      </c>
      <c r="I38" s="14">
        <f t="shared" si="4"/>
        <v>-1655.9105984200983</v>
      </c>
      <c r="J38" s="14">
        <f t="shared" si="5"/>
        <v>-299.79841702088959</v>
      </c>
      <c r="K38" s="14">
        <f t="shared" si="6"/>
        <v>149.89920851044479</v>
      </c>
    </row>
    <row r="39" spans="1:11" x14ac:dyDescent="0.25">
      <c r="A39">
        <f t="shared" si="7"/>
        <v>5</v>
      </c>
      <c r="B39" s="28">
        <f t="shared" si="8"/>
        <v>21.378272727272726</v>
      </c>
      <c r="C39">
        <f>B39*UserInput!$B$14</f>
        <v>18.171531818181816</v>
      </c>
      <c r="D39" s="14">
        <f>UserInput!$B$21*(IF(E23&lt;0,$J$1,0)+IF(F23&lt;0,$J$2,0))</f>
        <v>4.9966402836814936</v>
      </c>
      <c r="E39" s="14">
        <f>C39*UserInput!$B$4-IF(J39&lt;0,$J$1*$J$3)-IF(K39&lt;0,$J$2*$J$3)</f>
        <v>431.12012335268207</v>
      </c>
      <c r="F39" s="14">
        <f>UserInput!$B$3/2-C39/2</f>
        <v>8.9142340909090922</v>
      </c>
      <c r="G39">
        <f>UserInput!$B$3/2-UserInput!$B$7-UserInput!$B$20/2</f>
        <v>14.436</v>
      </c>
      <c r="H39">
        <f>UserInput!$B$3/2-UserInput!$B$7-UserInput!$B$20/2</f>
        <v>14.436</v>
      </c>
      <c r="I39" s="14">
        <f t="shared" si="4"/>
        <v>-1465.808419399119</v>
      </c>
      <c r="J39" s="14">
        <f t="shared" si="5"/>
        <v>-299.79841702088959</v>
      </c>
      <c r="K39" s="14">
        <f t="shared" si="6"/>
        <v>224.84881276566719</v>
      </c>
    </row>
    <row r="40" spans="1:11" x14ac:dyDescent="0.25">
      <c r="A40">
        <f t="shared" si="7"/>
        <v>6</v>
      </c>
      <c r="B40" s="28">
        <f t="shared" si="8"/>
        <v>19.196816326530612</v>
      </c>
      <c r="C40">
        <f>B40*UserInput!$B$14</f>
        <v>16.31729387755102</v>
      </c>
      <c r="D40" s="14">
        <f>UserInput!$B$21*(IF(E24&lt;0,$J$1,0)+IF(F24&lt;0,$J$2,0))</f>
        <v>4.9966402836814936</v>
      </c>
      <c r="E40" s="14">
        <f>C40*UserInput!$B$4-IF(J40&lt;0,$J$1*$J$3)-IF(K40&lt;0,$J$2*$J$3)</f>
        <v>386.61841277754297</v>
      </c>
      <c r="F40" s="14">
        <f>UserInput!$B$3/2-C40/2</f>
        <v>9.8413530612244902</v>
      </c>
      <c r="G40">
        <f>UserInput!$B$3/2-UserInput!$B$7-UserInput!$B$20/2</f>
        <v>14.436</v>
      </c>
      <c r="H40">
        <f>UserInput!$B$3/2-UserInput!$B$7-UserInput!$B$20/2</f>
        <v>14.436</v>
      </c>
      <c r="I40" s="14">
        <f t="shared" si="4"/>
        <v>-1314.502603443646</v>
      </c>
      <c r="J40" s="14">
        <f t="shared" si="5"/>
        <v>-299.79841702088959</v>
      </c>
      <c r="K40" s="14">
        <f t="shared" si="6"/>
        <v>299.79841702088959</v>
      </c>
    </row>
    <row r="41" spans="1:11" x14ac:dyDescent="0.25">
      <c r="A41">
        <f t="shared" si="7"/>
        <v>7</v>
      </c>
      <c r="B41" s="28">
        <f t="shared" si="8"/>
        <v>13.632521739130434</v>
      </c>
      <c r="C41">
        <f>B41*UserInput!$B$14</f>
        <v>11.587643478260869</v>
      </c>
      <c r="D41" s="14">
        <f>UserInput!$B$21*(IF(E25&lt;0,$J$1,0)+IF(F25&lt;0,$J$2,0))</f>
        <v>4.9966402836814936</v>
      </c>
      <c r="E41" s="14">
        <f>C41*UserInput!$B$4-IF(J41&lt;0,$J$1*$J$3)-IF(K41&lt;0,$J$2*$J$3)</f>
        <v>273.10680319457936</v>
      </c>
      <c r="F41" s="14">
        <f>UserInput!$B$3/2-C41/2</f>
        <v>12.206178260869565</v>
      </c>
      <c r="G41">
        <f>UserInput!$B$3/2-UserInput!$B$7-UserInput!$B$20/2</f>
        <v>14.436</v>
      </c>
      <c r="H41">
        <f>UserInput!$B$3/2-UserInput!$B$7-UserInput!$B$20/2</f>
        <v>14.436</v>
      </c>
      <c r="I41" s="14">
        <f t="shared" si="4"/>
        <v>-928.56313086156979</v>
      </c>
      <c r="J41" s="14">
        <f t="shared" si="5"/>
        <v>-299.79841702088959</v>
      </c>
      <c r="K41" s="14">
        <f t="shared" si="6"/>
        <v>299.79841702088959</v>
      </c>
    </row>
    <row r="42" spans="1:11" x14ac:dyDescent="0.25">
      <c r="A42">
        <f t="shared" si="7"/>
        <v>8</v>
      </c>
      <c r="B42" s="28">
        <f t="shared" si="8"/>
        <v>10.569033707865168</v>
      </c>
      <c r="C42">
        <f>B42*UserInput!$B$14</f>
        <v>8.983678651685393</v>
      </c>
      <c r="D42" s="14">
        <f>UserInput!$B$21*(IF(E26&lt;0,$J$1,0)+IF(F26&lt;0,$J$2,0))</f>
        <v>4.9966402836814936</v>
      </c>
      <c r="E42" s="14">
        <f>C42*UserInput!$B$4-IF(J42&lt;0,$J$1*$J$3)-IF(K42&lt;0,$J$2*$J$3)</f>
        <v>210.61164735676792</v>
      </c>
      <c r="F42" s="14">
        <f>UserInput!$B$3/2-C42/2</f>
        <v>13.508160674157303</v>
      </c>
      <c r="G42">
        <f>UserInput!$B$3/2-UserInput!$B$7-UserInput!$B$20/2</f>
        <v>14.436</v>
      </c>
      <c r="H42">
        <f>UserInput!$B$3/2-UserInput!$B$7-UserInput!$B$20/2</f>
        <v>14.436</v>
      </c>
      <c r="I42" s="14">
        <f t="shared" si="4"/>
        <v>-716.07960101301092</v>
      </c>
      <c r="J42" s="14">
        <f t="shared" si="5"/>
        <v>-288.1192556030947</v>
      </c>
      <c r="K42" s="14">
        <f t="shared" si="6"/>
        <v>299.79841702088959</v>
      </c>
    </row>
    <row r="43" spans="1:11" x14ac:dyDescent="0.25">
      <c r="A43">
        <f t="shared" si="7"/>
        <v>9</v>
      </c>
      <c r="B43" s="28">
        <f t="shared" si="8"/>
        <v>8.6297614678899066</v>
      </c>
      <c r="C43">
        <f>B43*UserInput!$B$14</f>
        <v>7.3352972477064204</v>
      </c>
      <c r="D43" s="14">
        <f>UserInput!$B$21*(IF(E27&lt;0,$J$1,0)+IF(F27&lt;0,$J$2,0))</f>
        <v>4.9966402836814936</v>
      </c>
      <c r="E43" s="14">
        <f>C43*UserInput!$B$4-IF(J43&lt;0,$J$1*$J$3)-IF(K43&lt;0,$J$2*$J$3)</f>
        <v>171.05049366127258</v>
      </c>
      <c r="F43" s="14">
        <f>UserInput!$B$3/2-C43/2</f>
        <v>14.332351376146789</v>
      </c>
      <c r="G43">
        <f>UserInput!$B$3/2-UserInput!$B$7-UserInput!$B$20/2</f>
        <v>14.436</v>
      </c>
      <c r="H43">
        <f>UserInput!$B$3/2-UserInput!$B$7-UserInput!$B$20/2</f>
        <v>14.436</v>
      </c>
      <c r="I43" s="14">
        <f t="shared" si="4"/>
        <v>-581.57167844832679</v>
      </c>
      <c r="J43" s="14">
        <f t="shared" si="5"/>
        <v>-255.17803109136537</v>
      </c>
      <c r="K43" s="14">
        <f t="shared" si="6"/>
        <v>299.79841702088959</v>
      </c>
    </row>
    <row r="44" spans="1:11" x14ac:dyDescent="0.25">
      <c r="A44">
        <f t="shared" si="7"/>
        <v>10</v>
      </c>
      <c r="B44" s="28">
        <f t="shared" si="8"/>
        <v>6.3130469798657716</v>
      </c>
      <c r="C44">
        <f>B44*UserInput!$B$14</f>
        <v>5.366089932885906</v>
      </c>
      <c r="D44" s="14">
        <f>UserInput!$B$21*(IF(E28&lt;0,$J$1,0)+IF(F28&lt;0,$J$2,0))</f>
        <v>4.9966402836814936</v>
      </c>
      <c r="E44" s="14">
        <f>C44*UserInput!$B$4-IF(J44&lt;0,$J$1*$J$3)-IF(K44&lt;0,$J$2*$J$3)</f>
        <v>123.78951810558024</v>
      </c>
      <c r="F44" s="14">
        <f>UserInput!$B$3/2-C44/2</f>
        <v>15.316955033557047</v>
      </c>
      <c r="G44">
        <f>UserInput!$B$3/2-UserInput!$B$7-UserInput!$B$20/2</f>
        <v>14.436</v>
      </c>
      <c r="H44">
        <f>UserInput!$B$3/2-UserInput!$B$7-UserInput!$B$20/2</f>
        <v>14.436</v>
      </c>
      <c r="I44" s="14">
        <f t="shared" si="4"/>
        <v>-420.88436155897284</v>
      </c>
      <c r="J44" s="14">
        <f t="shared" si="5"/>
        <v>-189.29558206790688</v>
      </c>
      <c r="K44" s="14">
        <f t="shared" si="6"/>
        <v>299.79841702088959</v>
      </c>
    </row>
    <row r="45" spans="1:11" x14ac:dyDescent="0.25">
      <c r="A45">
        <f t="shared" si="7"/>
        <v>11</v>
      </c>
      <c r="B45" s="28">
        <f t="shared" si="8"/>
        <v>4.9769523809523815</v>
      </c>
      <c r="C45">
        <f>B45*UserInput!$B$14</f>
        <v>4.2304095238095245</v>
      </c>
      <c r="D45" s="14">
        <f>UserInput!$B$21*(IF(E29&lt;0,$J$1,0)+IF(F29&lt;0,$J$2,0))</f>
        <v>4.9966402836814936</v>
      </c>
      <c r="E45" s="14">
        <f>C45*UserInput!$B$4-IF(J45&lt;0,$J$1*$J$3)-IF(K45&lt;0,$J$2*$J$3)</f>
        <v>96.533188287747095</v>
      </c>
      <c r="F45" s="14">
        <f>UserInput!$B$3/2-C45/2</f>
        <v>15.884795238095238</v>
      </c>
      <c r="G45">
        <f>UserInput!$B$3/2-UserInput!$B$7-UserInput!$B$20/2</f>
        <v>14.436</v>
      </c>
      <c r="H45">
        <f>UserInput!$B$3/2-UserInput!$B$7-UserInput!$B$20/2</f>
        <v>14.436</v>
      </c>
      <c r="I45" s="14">
        <f t="shared" si="4"/>
        <v>-328.21284017834012</v>
      </c>
      <c r="J45" s="14">
        <f t="shared" si="5"/>
        <v>-123.41313304444834</v>
      </c>
      <c r="K45" s="14">
        <f t="shared" si="6"/>
        <v>299.79841702088959</v>
      </c>
    </row>
    <row r="46" spans="1:11" x14ac:dyDescent="0.25">
      <c r="A46">
        <f t="shared" si="7"/>
        <v>12</v>
      </c>
      <c r="B46" s="28">
        <f t="shared" si="8"/>
        <v>4.1076157205240182</v>
      </c>
      <c r="C46">
        <f>B46*UserInput!$B$14</f>
        <v>3.4914733624454155</v>
      </c>
      <c r="D46" s="14">
        <f>UserInput!$B$21*(IF(E30&lt;0,$J$1,0)+IF(F30&lt;0,$J$2,0))</f>
        <v>4.9966402836814936</v>
      </c>
      <c r="E46" s="14">
        <f>C46*UserInput!$B$4-IF(J46&lt;0,$J$1*$J$3)-IF(K46&lt;0,$J$2*$J$3)</f>
        <v>78.798720415008489</v>
      </c>
      <c r="F46" s="14">
        <f>UserInput!$B$3/2-C46/2</f>
        <v>16.254263318777291</v>
      </c>
      <c r="G46">
        <f>UserInput!$B$3/2-UserInput!$B$7-UserInput!$B$20/2</f>
        <v>14.436</v>
      </c>
      <c r="H46">
        <f>UserInput!$B$3/2-UserInput!$B$7-UserInput!$B$20/2</f>
        <v>14.436</v>
      </c>
      <c r="I46" s="14">
        <f t="shared" si="4"/>
        <v>-267.91564941102888</v>
      </c>
      <c r="J46" s="14">
        <f t="shared" si="5"/>
        <v>-57.530684020989888</v>
      </c>
      <c r="K46" s="14">
        <f t="shared" si="6"/>
        <v>299.79841702088959</v>
      </c>
    </row>
    <row r="47" spans="1:11" x14ac:dyDescent="0.25">
      <c r="A47">
        <f t="shared" si="7"/>
        <v>13</v>
      </c>
      <c r="B47" s="28" t="str">
        <f t="shared" si="8"/>
        <v>N/A</v>
      </c>
      <c r="C47" t="s">
        <v>45</v>
      </c>
      <c r="D47" s="14">
        <f>UserInput!$B$21*(IF(E31&lt;0,$J$1,0)+IF(F31&lt;0,$J$2,0))</f>
        <v>0</v>
      </c>
      <c r="E47" s="14">
        <v>0</v>
      </c>
      <c r="F47" s="14">
        <v>0</v>
      </c>
      <c r="G47">
        <v>0</v>
      </c>
      <c r="H47">
        <v>0</v>
      </c>
      <c r="I47" s="14">
        <f t="shared" si="4"/>
        <v>0</v>
      </c>
      <c r="J47" s="14">
        <f t="shared" si="5"/>
        <v>299.79841702088959</v>
      </c>
      <c r="K47" s="14">
        <f t="shared" si="6"/>
        <v>299.79841702088959</v>
      </c>
    </row>
    <row r="49" spans="1:14" x14ac:dyDescent="0.25">
      <c r="A49" s="13" t="s">
        <v>62</v>
      </c>
      <c r="G49" s="13" t="s">
        <v>81</v>
      </c>
      <c r="M49" s="27" t="s">
        <v>82</v>
      </c>
      <c r="N49">
        <f>IF(UserInput!B13="Spirals",0.85,IF(UserInput!B13="Ties",0.8,"Error"))</f>
        <v>0.85</v>
      </c>
    </row>
    <row r="50" spans="1:14" x14ac:dyDescent="0.25">
      <c r="A50" t="s">
        <v>28</v>
      </c>
      <c r="B50" t="s">
        <v>30</v>
      </c>
      <c r="C50" t="s">
        <v>66</v>
      </c>
      <c r="D50" t="s">
        <v>48</v>
      </c>
      <c r="G50" s="27" t="s">
        <v>87</v>
      </c>
      <c r="H50" s="32" t="s">
        <v>86</v>
      </c>
      <c r="I50" t="s">
        <v>84</v>
      </c>
      <c r="J50" t="s">
        <v>85</v>
      </c>
      <c r="M50" s="27" t="s">
        <v>89</v>
      </c>
      <c r="N50">
        <f>UserInput!B18</f>
        <v>60</v>
      </c>
    </row>
    <row r="51" spans="1:14" x14ac:dyDescent="0.25">
      <c r="A51">
        <v>1</v>
      </c>
      <c r="B51" s="49">
        <f>-SUM(I35:K35)</f>
        <v>4026.3981473072613</v>
      </c>
      <c r="C51" s="49">
        <f>(-I35*F35+-J35*G35+K35*H35)/12</f>
        <v>0</v>
      </c>
      <c r="D51" t="s">
        <v>52</v>
      </c>
      <c r="G51" s="51">
        <f>F3</f>
        <v>-3.0000000000000001E-3</v>
      </c>
      <c r="H51" s="28">
        <f>IF(G51&lt;=$N$51,0.75,IF(G51&gt;=$N$52,0.9,(G51-$N$51)/($N$52-$N$51)*(0.9-0.75)+0.75))</f>
        <v>0.75</v>
      </c>
      <c r="I51" s="53">
        <f>H51*N49*B51</f>
        <v>2566.8288189083787</v>
      </c>
      <c r="J51" s="49">
        <f>H51*C51</f>
        <v>0</v>
      </c>
      <c r="M51" s="27" t="s">
        <v>83</v>
      </c>
      <c r="N51" s="51">
        <f>IF(N50&lt;=60,MIN(0.002,N50/UserInput!B19),(N50-60)/(100-60)*(0.004-0.002)+0.002)</f>
        <v>2E-3</v>
      </c>
    </row>
    <row r="52" spans="1:14" x14ac:dyDescent="0.25">
      <c r="A52">
        <f t="shared" ref="A52:A63" si="9">A51+1</f>
        <v>2</v>
      </c>
      <c r="B52" s="49">
        <f t="shared" ref="B52:B63" si="10">-SUM(I36:K36)</f>
        <v>2532.5708000563727</v>
      </c>
      <c r="C52" s="49">
        <f t="shared" ref="C52:C63" si="11">(-I36*F36+-J36*G36+K36*H36)/12</f>
        <v>1144.8629759077678</v>
      </c>
      <c r="D52" s="27" t="s">
        <v>53</v>
      </c>
      <c r="G52" s="51">
        <f t="shared" ref="G52:G63" si="12">F4</f>
        <v>0</v>
      </c>
      <c r="H52" s="28">
        <f t="shared" ref="H52:H62" si="13">IF(G52&lt;=$N$51,0.75,IF(G52&gt;=$N$52,0.9,(G52-$N$51)/($N$52-$N$51)*(0.9-0.75)+0.75))</f>
        <v>0.75</v>
      </c>
      <c r="I52" s="49">
        <f>MIN($I$51,H52*B52)</f>
        <v>1899.4281000422795</v>
      </c>
      <c r="J52" s="49">
        <f t="shared" ref="J52:J62" si="14">H52*C52</f>
        <v>858.64723193082591</v>
      </c>
      <c r="M52" s="27" t="s">
        <v>88</v>
      </c>
      <c r="N52" s="51">
        <f>IF(N50&lt;=75,0.005,(N50-75)/(100-75)*(0.008-0.005)+0.005)</f>
        <v>5.0000000000000001E-3</v>
      </c>
    </row>
    <row r="53" spans="1:14" x14ac:dyDescent="0.25">
      <c r="A53">
        <f t="shared" si="9"/>
        <v>3</v>
      </c>
      <c r="B53" s="49">
        <f t="shared" si="10"/>
        <v>2126.7739958011507</v>
      </c>
      <c r="C53" s="49">
        <f t="shared" si="11"/>
        <v>1440.1320276158569</v>
      </c>
      <c r="D53" s="29">
        <v>0.25</v>
      </c>
      <c r="G53" s="51">
        <f t="shared" si="12"/>
        <v>5.1724137931034484E-4</v>
      </c>
      <c r="H53" s="28">
        <f t="shared" si="13"/>
        <v>0.75</v>
      </c>
      <c r="I53" s="49">
        <f t="shared" ref="I53:I63" si="15">MIN($I$51,H53*B53)</f>
        <v>1595.080496850863</v>
      </c>
      <c r="J53" s="49">
        <f t="shared" si="14"/>
        <v>1080.0990207118928</v>
      </c>
    </row>
    <row r="54" spans="1:14" x14ac:dyDescent="0.25">
      <c r="A54">
        <f t="shared" si="9"/>
        <v>4</v>
      </c>
      <c r="B54" s="49">
        <f t="shared" si="10"/>
        <v>1805.8098069305431</v>
      </c>
      <c r="C54" s="49">
        <f t="shared" si="11"/>
        <v>1610.344647982768</v>
      </c>
      <c r="D54" s="29">
        <f>D53+0.25</f>
        <v>0.5</v>
      </c>
      <c r="G54" s="51">
        <f t="shared" si="12"/>
        <v>1.0344827586206897E-3</v>
      </c>
      <c r="H54" s="28">
        <f t="shared" si="13"/>
        <v>0.75</v>
      </c>
      <c r="I54" s="49">
        <f t="shared" si="15"/>
        <v>1354.3573551979073</v>
      </c>
      <c r="J54" s="49">
        <f t="shared" si="14"/>
        <v>1207.758485987076</v>
      </c>
    </row>
    <row r="55" spans="1:14" x14ac:dyDescent="0.25">
      <c r="A55">
        <f t="shared" si="9"/>
        <v>5</v>
      </c>
      <c r="B55" s="49">
        <f t="shared" si="10"/>
        <v>1540.7580236543415</v>
      </c>
      <c r="C55" s="49">
        <f t="shared" si="11"/>
        <v>1720.0305660123279</v>
      </c>
      <c r="D55" s="29">
        <f>D54+0.25</f>
        <v>0.75</v>
      </c>
      <c r="G55" s="51">
        <f t="shared" si="12"/>
        <v>1.5517241379310344E-3</v>
      </c>
      <c r="H55" s="28">
        <f t="shared" si="13"/>
        <v>0.75</v>
      </c>
      <c r="I55" s="49">
        <f t="shared" si="15"/>
        <v>1155.5685177407561</v>
      </c>
      <c r="J55" s="49">
        <f t="shared" si="14"/>
        <v>1290.022924509246</v>
      </c>
    </row>
    <row r="56" spans="1:14" x14ac:dyDescent="0.25">
      <c r="A56">
        <f t="shared" si="9"/>
        <v>6</v>
      </c>
      <c r="B56" s="49">
        <f t="shared" si="10"/>
        <v>1314.502603443646</v>
      </c>
      <c r="C56" s="49">
        <f t="shared" si="11"/>
        <v>1799.3553430512345</v>
      </c>
      <c r="D56" s="30">
        <f>D55+0.25</f>
        <v>1</v>
      </c>
      <c r="G56" s="51">
        <f t="shared" si="12"/>
        <v>2.0689655172413794E-3</v>
      </c>
      <c r="H56" s="28">
        <f t="shared" si="13"/>
        <v>0.75344827586206897</v>
      </c>
      <c r="I56" s="49">
        <f t="shared" si="15"/>
        <v>990.40972018081607</v>
      </c>
      <c r="J56" s="49">
        <f t="shared" si="14"/>
        <v>1355.7211808851544</v>
      </c>
    </row>
    <row r="57" spans="1:14" x14ac:dyDescent="0.25">
      <c r="A57">
        <f t="shared" si="9"/>
        <v>7</v>
      </c>
      <c r="B57" s="49">
        <f t="shared" si="10"/>
        <v>928.5631308615699</v>
      </c>
      <c r="C57" s="49">
        <f t="shared" si="11"/>
        <v>1665.8322498328835</v>
      </c>
      <c r="D57" s="30">
        <f>D56+1</f>
        <v>2</v>
      </c>
      <c r="G57" s="51">
        <f t="shared" si="12"/>
        <v>4.1379310344827587E-3</v>
      </c>
      <c r="H57" s="28">
        <f t="shared" si="13"/>
        <v>0.85689655172413792</v>
      </c>
      <c r="I57" s="49">
        <f t="shared" si="15"/>
        <v>795.68254489344872</v>
      </c>
      <c r="J57" s="49">
        <f t="shared" si="14"/>
        <v>1427.4459106326606</v>
      </c>
    </row>
    <row r="58" spans="1:14" x14ac:dyDescent="0.25">
      <c r="A58">
        <f t="shared" si="9"/>
        <v>8</v>
      </c>
      <c r="B58" s="49">
        <f t="shared" si="10"/>
        <v>704.40043959521597</v>
      </c>
      <c r="C58" s="49">
        <f t="shared" si="11"/>
        <v>1513.3414856641702</v>
      </c>
      <c r="D58" s="30">
        <f>D57+1</f>
        <v>3</v>
      </c>
      <c r="G58" s="51">
        <f t="shared" si="12"/>
        <v>6.2068965517241377E-3</v>
      </c>
      <c r="H58" s="28">
        <f t="shared" si="13"/>
        <v>0.9</v>
      </c>
      <c r="I58" s="49">
        <f t="shared" si="15"/>
        <v>633.96039563569434</v>
      </c>
      <c r="J58" s="49">
        <f t="shared" si="14"/>
        <v>1362.0073370977532</v>
      </c>
    </row>
    <row r="59" spans="1:14" x14ac:dyDescent="0.25">
      <c r="A59">
        <f t="shared" si="9"/>
        <v>9</v>
      </c>
      <c r="B59" s="49">
        <f t="shared" si="10"/>
        <v>536.95129251880257</v>
      </c>
      <c r="C59" s="49">
        <f t="shared" si="11"/>
        <v>1362.2441375737824</v>
      </c>
      <c r="D59" s="30">
        <f>D58+1</f>
        <v>4</v>
      </c>
      <c r="G59" s="51">
        <f t="shared" si="12"/>
        <v>8.2758620689655175E-3</v>
      </c>
      <c r="H59" s="28">
        <f t="shared" si="13"/>
        <v>0.9</v>
      </c>
      <c r="I59" s="49">
        <f t="shared" si="15"/>
        <v>483.25616326692233</v>
      </c>
      <c r="J59" s="49">
        <f t="shared" si="14"/>
        <v>1226.0197238164042</v>
      </c>
    </row>
    <row r="60" spans="1:14" x14ac:dyDescent="0.25">
      <c r="A60">
        <f t="shared" si="9"/>
        <v>10</v>
      </c>
      <c r="B60" s="49">
        <f t="shared" si="10"/>
        <v>310.38152660599019</v>
      </c>
      <c r="C60" s="49">
        <f t="shared" si="11"/>
        <v>1125.6023175976682</v>
      </c>
      <c r="D60" s="30">
        <f>D59+2</f>
        <v>6</v>
      </c>
      <c r="G60" s="51">
        <f t="shared" si="12"/>
        <v>1.2413793103448275E-2</v>
      </c>
      <c r="H60" s="28">
        <f t="shared" si="13"/>
        <v>0.9</v>
      </c>
      <c r="I60" s="49">
        <f t="shared" si="15"/>
        <v>279.34337394539119</v>
      </c>
      <c r="J60" s="49">
        <f t="shared" si="14"/>
        <v>1013.0420858379014</v>
      </c>
    </row>
    <row r="61" spans="1:14" x14ac:dyDescent="0.25">
      <c r="A61">
        <f t="shared" si="9"/>
        <v>11</v>
      </c>
      <c r="B61" s="49">
        <f t="shared" si="10"/>
        <v>151.82755620189886</v>
      </c>
      <c r="C61" s="49">
        <f t="shared" si="11"/>
        <v>943.58964145748575</v>
      </c>
      <c r="D61" s="30">
        <f>D60+2</f>
        <v>8</v>
      </c>
      <c r="G61" s="51">
        <f t="shared" si="12"/>
        <v>1.6551724137931035E-2</v>
      </c>
      <c r="H61" s="28">
        <f t="shared" si="13"/>
        <v>0.9</v>
      </c>
      <c r="I61" s="49">
        <f t="shared" si="15"/>
        <v>136.64480058170898</v>
      </c>
      <c r="J61" s="49">
        <f t="shared" si="14"/>
        <v>849.23067731173717</v>
      </c>
    </row>
    <row r="62" spans="1:14" x14ac:dyDescent="0.25">
      <c r="A62">
        <f t="shared" si="9"/>
        <v>12</v>
      </c>
      <c r="B62" s="49">
        <f t="shared" si="10"/>
        <v>25.647916411129188</v>
      </c>
      <c r="C62" s="49">
        <f t="shared" si="11"/>
        <v>792.76453461572135</v>
      </c>
      <c r="D62" s="30">
        <f>D61+2</f>
        <v>10</v>
      </c>
      <c r="G62" s="51">
        <f t="shared" si="12"/>
        <v>2.0689655172413793E-2</v>
      </c>
      <c r="H62" s="28">
        <f t="shared" si="13"/>
        <v>0.9</v>
      </c>
      <c r="I62" s="49">
        <f t="shared" si="15"/>
        <v>23.083124770016269</v>
      </c>
      <c r="J62" s="49">
        <f t="shared" si="14"/>
        <v>713.4880811541492</v>
      </c>
    </row>
    <row r="63" spans="1:14" x14ac:dyDescent="0.25">
      <c r="A63">
        <f t="shared" si="9"/>
        <v>13</v>
      </c>
      <c r="B63" s="49">
        <f t="shared" si="10"/>
        <v>-599.59683404177918</v>
      </c>
      <c r="C63" s="49">
        <f t="shared" si="11"/>
        <v>0</v>
      </c>
      <c r="D63" t="s">
        <v>54</v>
      </c>
      <c r="G63" s="51">
        <f t="shared" si="12"/>
        <v>2.0689655172413794E-3</v>
      </c>
      <c r="H63" s="52">
        <v>0.9</v>
      </c>
      <c r="I63" s="49">
        <f t="shared" si="15"/>
        <v>-539.63715063760128</v>
      </c>
      <c r="J63" s="49">
        <f>H63*C63</f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0"/>
  <sheetViews>
    <sheetView showGridLines="0" showRowColHeaders="0" zoomScale="110" zoomScaleNormal="110" workbookViewId="0"/>
  </sheetViews>
  <sheetFormatPr defaultColWidth="0" defaultRowHeight="15" zeroHeight="1" x14ac:dyDescent="0.25"/>
  <cols>
    <col min="1" max="1" width="1.7109375" style="3" customWidth="1"/>
    <col min="2" max="2" width="10.28515625" style="3" customWidth="1"/>
    <col min="3" max="3" width="14.28515625" style="3" bestFit="1" customWidth="1"/>
    <col min="4" max="5" width="9.140625" style="3" hidden="1" customWidth="1"/>
    <col min="6" max="16" width="9.140625" style="3" customWidth="1"/>
    <col min="17" max="18" width="0" style="3" hidden="1" customWidth="1"/>
    <col min="19" max="16384" width="9.140625" style="3" hidden="1"/>
  </cols>
  <sheetData>
    <row r="1" spans="1:16" ht="26.25" customHeight="1" x14ac:dyDescent="0.25">
      <c r="A1" s="5"/>
      <c r="B1" s="5"/>
      <c r="C1" s="5"/>
      <c r="D1" s="67" t="s">
        <v>74</v>
      </c>
      <c r="E1" s="67"/>
      <c r="F1" s="67" t="s">
        <v>75</v>
      </c>
      <c r="G1" s="67"/>
      <c r="H1" s="5"/>
      <c r="I1" s="5"/>
      <c r="J1" s="5"/>
      <c r="K1" s="5"/>
      <c r="L1" s="5"/>
      <c r="M1" s="5"/>
      <c r="N1" s="5"/>
      <c r="O1" s="5"/>
      <c r="P1" s="5"/>
    </row>
    <row r="2" spans="1:16" ht="19.5" customHeight="1" x14ac:dyDescent="0.25">
      <c r="A2" s="5"/>
      <c r="B2" s="23" t="s">
        <v>28</v>
      </c>
      <c r="C2" s="24" t="s">
        <v>29</v>
      </c>
      <c r="D2" s="24" t="s">
        <v>30</v>
      </c>
      <c r="E2" s="24" t="s">
        <v>66</v>
      </c>
      <c r="F2" s="24" t="s">
        <v>30</v>
      </c>
      <c r="G2" s="25" t="s">
        <v>66</v>
      </c>
      <c r="H2" s="5"/>
      <c r="I2" s="5"/>
      <c r="J2" s="5"/>
      <c r="K2" s="5"/>
      <c r="L2" s="5"/>
      <c r="M2" s="5"/>
      <c r="N2" s="5"/>
      <c r="O2" s="5"/>
      <c r="P2" s="5"/>
    </row>
    <row r="3" spans="1:16" x14ac:dyDescent="0.25">
      <c r="A3" s="5"/>
      <c r="B3" s="17">
        <v>1</v>
      </c>
      <c r="C3" s="18" t="s">
        <v>32</v>
      </c>
      <c r="D3" s="21">
        <v>4026.3981473072608</v>
      </c>
      <c r="E3" s="21">
        <v>5.6843418860808015E-14</v>
      </c>
      <c r="F3" s="21">
        <v>2566.8288189083787</v>
      </c>
      <c r="G3" s="36">
        <v>4.2632564145606011E-14</v>
      </c>
      <c r="H3" s="5"/>
      <c r="I3" s="5"/>
      <c r="J3" s="5"/>
      <c r="K3" s="5"/>
      <c r="L3" s="5"/>
      <c r="M3" s="5"/>
      <c r="N3" s="5"/>
      <c r="O3" s="5"/>
      <c r="P3" s="5"/>
    </row>
    <row r="4" spans="1:16" x14ac:dyDescent="0.25">
      <c r="A4" s="5"/>
      <c r="B4" s="19">
        <v>2</v>
      </c>
      <c r="C4" s="20" t="s">
        <v>33</v>
      </c>
      <c r="D4" s="22">
        <v>3124.8319032176641</v>
      </c>
      <c r="E4" s="22">
        <v>919.56623346681624</v>
      </c>
      <c r="F4" s="22">
        <v>2343.6239274132481</v>
      </c>
      <c r="G4" s="37">
        <v>689.67467510011215</v>
      </c>
      <c r="H4" s="5"/>
      <c r="I4" s="5"/>
      <c r="J4" s="5"/>
      <c r="K4" s="5"/>
      <c r="L4" s="5"/>
      <c r="M4" s="5"/>
      <c r="N4" s="5"/>
      <c r="O4" s="5"/>
      <c r="P4" s="5"/>
    </row>
    <row r="5" spans="1:16" x14ac:dyDescent="0.25">
      <c r="A5" s="5"/>
      <c r="B5" s="17">
        <v>3</v>
      </c>
      <c r="C5" s="18" t="s">
        <v>34</v>
      </c>
      <c r="D5" s="21">
        <v>2599.5148848668296</v>
      </c>
      <c r="E5" s="21">
        <v>1225.0062931338236</v>
      </c>
      <c r="F5" s="21">
        <v>1949.6361636501222</v>
      </c>
      <c r="G5" s="36">
        <v>918.75471985036779</v>
      </c>
      <c r="H5" s="5"/>
      <c r="I5" s="5"/>
      <c r="J5" s="5"/>
      <c r="K5" s="5"/>
      <c r="L5" s="5"/>
      <c r="M5" s="5"/>
      <c r="N5" s="5"/>
      <c r="O5" s="5"/>
      <c r="P5" s="5"/>
    </row>
    <row r="6" spans="1:16" x14ac:dyDescent="0.25">
      <c r="A6" s="5"/>
      <c r="B6" s="19">
        <v>4</v>
      </c>
      <c r="C6" s="20" t="s">
        <v>35</v>
      </c>
      <c r="D6" s="22">
        <v>2164.9645976885145</v>
      </c>
      <c r="E6" s="22">
        <v>1374.3822561370434</v>
      </c>
      <c r="F6" s="22">
        <v>1623.7234482663857</v>
      </c>
      <c r="G6" s="37">
        <v>1030.7866921027826</v>
      </c>
      <c r="H6" s="5"/>
      <c r="I6" s="5"/>
      <c r="J6" s="5"/>
      <c r="K6" s="5"/>
      <c r="L6" s="5"/>
      <c r="M6" s="5"/>
      <c r="N6" s="5"/>
      <c r="O6" s="5"/>
      <c r="P6" s="5"/>
    </row>
    <row r="7" spans="1:16" x14ac:dyDescent="0.25">
      <c r="A7" s="5"/>
      <c r="B7" s="17">
        <v>5</v>
      </c>
      <c r="C7" s="18" t="s">
        <v>36</v>
      </c>
      <c r="D7" s="21">
        <v>1805.5684857316787</v>
      </c>
      <c r="E7" s="21">
        <v>1441.2241380358846</v>
      </c>
      <c r="F7" s="21">
        <v>1354.1763642987589</v>
      </c>
      <c r="G7" s="36">
        <v>1080.9181035269135</v>
      </c>
      <c r="H7" s="5"/>
      <c r="I7" s="5"/>
      <c r="J7" s="5"/>
      <c r="K7" s="5"/>
      <c r="L7" s="5"/>
      <c r="M7" s="5"/>
      <c r="N7" s="5"/>
      <c r="O7" s="5"/>
      <c r="P7" s="5"/>
    </row>
    <row r="8" spans="1:16" x14ac:dyDescent="0.25">
      <c r="A8" s="5"/>
      <c r="B8" s="19">
        <v>6</v>
      </c>
      <c r="C8" s="20" t="s">
        <v>37</v>
      </c>
      <c r="D8" s="22">
        <v>1503.0847626831512</v>
      </c>
      <c r="E8" s="22">
        <v>1466.0020458080371</v>
      </c>
      <c r="F8" s="22">
        <v>1132.4966229181673</v>
      </c>
      <c r="G8" s="37">
        <v>1104.5567138243314</v>
      </c>
      <c r="H8" s="5"/>
      <c r="I8" s="5"/>
      <c r="J8" s="5"/>
      <c r="K8" s="5"/>
      <c r="L8" s="5"/>
      <c r="M8" s="5"/>
      <c r="N8" s="5"/>
      <c r="O8" s="5"/>
      <c r="P8" s="5"/>
    </row>
    <row r="9" spans="1:16" x14ac:dyDescent="0.25">
      <c r="A9" s="5"/>
      <c r="B9" s="17">
        <v>7</v>
      </c>
      <c r="C9" s="18" t="s">
        <v>38</v>
      </c>
      <c r="D9" s="21">
        <v>801.02554649650438</v>
      </c>
      <c r="E9" s="21">
        <v>1275.4741231405674</v>
      </c>
      <c r="F9" s="21">
        <v>686.39602863579773</v>
      </c>
      <c r="G9" s="36">
        <v>1092.9493779325207</v>
      </c>
      <c r="H9" s="5"/>
      <c r="I9" s="5"/>
      <c r="J9" s="5"/>
      <c r="K9" s="5"/>
      <c r="L9" s="5"/>
      <c r="M9" s="5"/>
      <c r="N9" s="5"/>
      <c r="O9" s="5"/>
      <c r="P9" s="5"/>
    </row>
    <row r="10" spans="1:16" x14ac:dyDescent="0.25">
      <c r="A10" s="5"/>
      <c r="B10" s="19">
        <v>8</v>
      </c>
      <c r="C10" s="20" t="s">
        <v>39</v>
      </c>
      <c r="D10" s="22">
        <v>410.36225897312693</v>
      </c>
      <c r="E10" s="22">
        <v>1047.0904574829449</v>
      </c>
      <c r="F10" s="22">
        <v>369.32603307581422</v>
      </c>
      <c r="G10" s="37">
        <v>942.38141173465044</v>
      </c>
      <c r="H10" s="5"/>
      <c r="I10" s="5"/>
      <c r="J10" s="5"/>
      <c r="K10" s="5"/>
      <c r="L10" s="5"/>
      <c r="M10" s="5"/>
      <c r="N10" s="5"/>
      <c r="O10" s="5"/>
      <c r="P10" s="5"/>
    </row>
    <row r="11" spans="1:16" x14ac:dyDescent="0.25">
      <c r="A11" s="5"/>
      <c r="B11" s="17">
        <v>9</v>
      </c>
      <c r="C11" s="18" t="s">
        <v>40</v>
      </c>
      <c r="D11" s="21">
        <v>194.40427458585299</v>
      </c>
      <c r="E11" s="21">
        <v>866.53207954162554</v>
      </c>
      <c r="F11" s="21">
        <v>174.96384712726768</v>
      </c>
      <c r="G11" s="36">
        <v>779.87887158746298</v>
      </c>
      <c r="H11" s="5"/>
      <c r="I11" s="5"/>
      <c r="J11" s="5"/>
      <c r="K11" s="5"/>
      <c r="L11" s="5"/>
      <c r="M11" s="5"/>
      <c r="N11" s="5"/>
      <c r="O11" s="5"/>
      <c r="P11" s="5"/>
    </row>
    <row r="12" spans="1:16" x14ac:dyDescent="0.25">
      <c r="A12" s="5"/>
      <c r="B12" s="19">
        <v>10</v>
      </c>
      <c r="C12" s="20" t="s">
        <v>41</v>
      </c>
      <c r="D12" s="22">
        <v>-87.724651861078769</v>
      </c>
      <c r="E12" s="22">
        <v>604.25794669887762</v>
      </c>
      <c r="F12" s="22">
        <v>-78.952186674970889</v>
      </c>
      <c r="G12" s="37">
        <v>543.83215202898987</v>
      </c>
      <c r="H12" s="5"/>
      <c r="I12" s="5"/>
      <c r="J12" s="5"/>
      <c r="K12" s="5"/>
      <c r="L12" s="5"/>
      <c r="M12" s="5"/>
      <c r="N12" s="5"/>
      <c r="O12" s="5"/>
      <c r="P12" s="5"/>
    </row>
    <row r="13" spans="1:16" x14ac:dyDescent="0.25">
      <c r="A13" s="5"/>
      <c r="B13" s="17">
        <v>11</v>
      </c>
      <c r="C13" s="18" t="s">
        <v>42</v>
      </c>
      <c r="D13" s="21">
        <v>-237.40714867469049</v>
      </c>
      <c r="E13" s="21">
        <v>447.61904136015829</v>
      </c>
      <c r="F13" s="21">
        <v>-213.66643380722144</v>
      </c>
      <c r="G13" s="36">
        <v>402.85713722414249</v>
      </c>
      <c r="H13" s="5"/>
      <c r="I13" s="5"/>
      <c r="J13" s="5"/>
      <c r="K13" s="5"/>
      <c r="L13" s="5"/>
      <c r="M13" s="5"/>
      <c r="N13" s="5"/>
      <c r="O13" s="5"/>
      <c r="P13" s="5"/>
    </row>
    <row r="14" spans="1:16" x14ac:dyDescent="0.25">
      <c r="A14" s="5"/>
      <c r="B14" s="19">
        <v>12</v>
      </c>
      <c r="C14" s="20" t="s">
        <v>43</v>
      </c>
      <c r="D14" s="22">
        <v>-323.88677800912546</v>
      </c>
      <c r="E14" s="22">
        <v>346.46901384466645</v>
      </c>
      <c r="F14" s="22">
        <v>-291.49810020821292</v>
      </c>
      <c r="G14" s="37">
        <v>311.82211246019983</v>
      </c>
      <c r="H14" s="5"/>
      <c r="I14" s="5"/>
      <c r="J14" s="5"/>
      <c r="K14" s="5"/>
      <c r="L14" s="5"/>
      <c r="M14" s="5"/>
      <c r="N14" s="5"/>
      <c r="O14" s="5"/>
      <c r="P14" s="5"/>
    </row>
    <row r="15" spans="1:16" x14ac:dyDescent="0.25">
      <c r="A15" s="5"/>
      <c r="B15" s="17">
        <v>13</v>
      </c>
      <c r="C15" s="18" t="s">
        <v>44</v>
      </c>
      <c r="D15" s="21">
        <v>-599.59683404177906</v>
      </c>
      <c r="E15" s="21">
        <v>-5.6843418860808015E-14</v>
      </c>
      <c r="F15" s="21">
        <v>-539.63715063760117</v>
      </c>
      <c r="G15" s="36">
        <v>-5.1159076974727215E-14</v>
      </c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25">
      <c r="A17" s="5"/>
      <c r="B17" s="5"/>
      <c r="C17" s="5"/>
      <c r="E17" s="3" t="s">
        <v>74</v>
      </c>
      <c r="F17" s="5"/>
      <c r="G17" s="38" t="s">
        <v>75</v>
      </c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25">
      <c r="A18" s="5"/>
      <c r="B18" s="5"/>
      <c r="C18" s="15"/>
      <c r="D18" s="56" t="s">
        <v>76</v>
      </c>
      <c r="E18" s="16">
        <v>685.80898538729855</v>
      </c>
      <c r="F18" s="56" t="s">
        <v>76</v>
      </c>
      <c r="G18" s="16">
        <v>617.22808684856864</v>
      </c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39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</sheetData>
  <sheetProtection sheet="1" objects="1" scenarios="1"/>
  <mergeCells count="2">
    <mergeCell ref="D1:E1"/>
    <mergeCell ref="F1:G1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81"/>
  <sheetViews>
    <sheetView zoomScale="125" zoomScaleNormal="125" workbookViewId="0">
      <selection activeCell="C19" sqref="C19"/>
    </sheetView>
  </sheetViews>
  <sheetFormatPr defaultColWidth="0" defaultRowHeight="15" x14ac:dyDescent="0.25"/>
  <cols>
    <col min="1" max="16" width="9.140625" customWidth="1"/>
    <col min="17" max="17" width="0" hidden="1" customWidth="1"/>
    <col min="18" max="16384" width="9.140625" hidden="1"/>
  </cols>
  <sheetData>
    <row r="1" spans="1:16" x14ac:dyDescent="0.25">
      <c r="A1" s="3" t="s">
        <v>103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x14ac:dyDescent="0.25">
      <c r="A2" s="3" t="s">
        <v>99</v>
      </c>
      <c r="B2" s="3"/>
      <c r="C2" s="3"/>
      <c r="D2" s="3" t="s">
        <v>102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x14ac:dyDescent="0.25">
      <c r="A3" s="3" t="s">
        <v>100</v>
      </c>
      <c r="B3" s="3" t="s">
        <v>101</v>
      </c>
      <c r="C3" s="3"/>
      <c r="D3" s="3" t="s">
        <v>100</v>
      </c>
      <c r="E3" s="3" t="s">
        <v>101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60">
        <v>2567.1</v>
      </c>
      <c r="B4" s="60">
        <v>0</v>
      </c>
      <c r="C4" s="60"/>
      <c r="D4" s="60">
        <v>2566.8288189083787</v>
      </c>
      <c r="E4" s="60">
        <v>4.2632564145606011E-14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60">
        <v>2567.1</v>
      </c>
      <c r="B5" s="60">
        <v>476.06</v>
      </c>
      <c r="C5" s="60"/>
      <c r="D5" s="60">
        <v>2343.6239274132481</v>
      </c>
      <c r="E5" s="60">
        <v>689.67467510011215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x14ac:dyDescent="0.25">
      <c r="A6" s="60">
        <v>2377.4</v>
      </c>
      <c r="B6" s="60">
        <v>638.16</v>
      </c>
      <c r="C6" s="60"/>
      <c r="D6" s="60">
        <v>1949.6361636501222</v>
      </c>
      <c r="E6" s="60">
        <v>918.75471985036779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x14ac:dyDescent="0.25">
      <c r="A7" s="60">
        <v>1662.5</v>
      </c>
      <c r="B7" s="60">
        <v>1008.48</v>
      </c>
      <c r="C7" s="60"/>
      <c r="D7" s="60">
        <v>1623.7234482663857</v>
      </c>
      <c r="E7" s="60">
        <v>1030.7866921027826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x14ac:dyDescent="0.25">
      <c r="A8" s="60">
        <v>1163.3</v>
      </c>
      <c r="B8" s="60">
        <v>1090.82</v>
      </c>
      <c r="C8" s="60"/>
      <c r="D8" s="60">
        <v>1354.1763642987589</v>
      </c>
      <c r="E8" s="60">
        <v>1080.9181035269135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x14ac:dyDescent="0.25">
      <c r="A9" s="60">
        <v>561</v>
      </c>
      <c r="B9" s="60">
        <v>1059.92</v>
      </c>
      <c r="C9" s="60"/>
      <c r="D9" s="60">
        <v>1132.4966229181673</v>
      </c>
      <c r="E9" s="60">
        <v>1104.5567138243314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6" x14ac:dyDescent="0.25">
      <c r="A10" s="60">
        <v>0</v>
      </c>
      <c r="B10" s="60">
        <v>624.04</v>
      </c>
      <c r="C10" s="60"/>
      <c r="D10" s="60">
        <v>686.39602863579773</v>
      </c>
      <c r="E10" s="60">
        <v>1092.9493779325207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 x14ac:dyDescent="0.25">
      <c r="A11" s="60">
        <v>-540</v>
      </c>
      <c r="B11" s="60">
        <v>0</v>
      </c>
      <c r="C11" s="60"/>
      <c r="D11" s="60">
        <v>369.32603307581422</v>
      </c>
      <c r="E11" s="60">
        <v>942.38141173465044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  <row r="12" spans="1:16" x14ac:dyDescent="0.25">
      <c r="A12" s="60"/>
      <c r="B12" s="60"/>
      <c r="C12" s="60"/>
      <c r="D12" s="60">
        <v>174.96384712726768</v>
      </c>
      <c r="E12" s="60">
        <v>779.87887158746298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</row>
    <row r="13" spans="1:16" x14ac:dyDescent="0.25">
      <c r="A13" s="60"/>
      <c r="B13" s="60"/>
      <c r="C13" s="60"/>
      <c r="D13" s="60">
        <v>-78.952186674970889</v>
      </c>
      <c r="E13" s="60">
        <v>543.83215202898987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</row>
    <row r="14" spans="1:16" x14ac:dyDescent="0.25">
      <c r="A14" s="60"/>
      <c r="B14" s="60"/>
      <c r="C14" s="60"/>
      <c r="D14" s="60">
        <v>-213.66643380722144</v>
      </c>
      <c r="E14" s="60">
        <v>402.85713722414249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1:16" x14ac:dyDescent="0.25">
      <c r="A15" s="60"/>
      <c r="B15" s="60"/>
      <c r="C15" s="60"/>
      <c r="D15" s="60">
        <v>-291.49810020821292</v>
      </c>
      <c r="E15" s="60">
        <v>311.82211246019983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</row>
    <row r="16" spans="1:16" x14ac:dyDescent="0.25">
      <c r="A16" s="60"/>
      <c r="B16" s="60"/>
      <c r="C16" s="60"/>
      <c r="D16" s="60">
        <v>-539.63715063760117</v>
      </c>
      <c r="E16" s="60">
        <v>-5.1159076974727215E-14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1:16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</row>
    <row r="18" spans="1:16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</row>
    <row r="20" spans="1:16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</row>
    <row r="22" spans="1:16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</row>
    <row r="23" spans="1:16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</row>
    <row r="24" spans="1:16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</row>
    <row r="25" spans="1:16" x14ac:dyDescent="0.25">
      <c r="A25" s="3" t="s">
        <v>104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</row>
    <row r="26" spans="1:16" x14ac:dyDescent="0.25">
      <c r="A26" s="3" t="s">
        <v>99</v>
      </c>
      <c r="B26" s="3"/>
      <c r="C26" s="3"/>
      <c r="D26" s="3" t="s">
        <v>102</v>
      </c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</row>
    <row r="27" spans="1:16" x14ac:dyDescent="0.25">
      <c r="A27" s="3" t="s">
        <v>100</v>
      </c>
      <c r="B27" s="3" t="s">
        <v>101</v>
      </c>
      <c r="C27" s="3"/>
      <c r="D27" s="3" t="s">
        <v>100</v>
      </c>
      <c r="E27" s="3" t="s">
        <v>101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</row>
    <row r="28" spans="1:16" x14ac:dyDescent="0.25">
      <c r="A28" s="60">
        <v>505.6</v>
      </c>
      <c r="B28" s="60">
        <v>0</v>
      </c>
      <c r="C28" s="60"/>
      <c r="D28" s="60">
        <v>504.71977884621379</v>
      </c>
      <c r="E28" s="60">
        <v>0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</row>
    <row r="29" spans="1:16" x14ac:dyDescent="0.25">
      <c r="A29" s="60">
        <v>505.6</v>
      </c>
      <c r="B29" s="60">
        <v>46.48</v>
      </c>
      <c r="C29" s="60"/>
      <c r="D29" s="60">
        <v>390.2239875565964</v>
      </c>
      <c r="E29" s="60">
        <v>92.103601901781744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</row>
    <row r="30" spans="1:16" x14ac:dyDescent="0.25">
      <c r="A30" s="60">
        <v>390.8</v>
      </c>
      <c r="B30" s="60">
        <v>91.67</v>
      </c>
      <c r="C30" s="60"/>
      <c r="D30" s="60">
        <v>326.69316046562562</v>
      </c>
      <c r="E30" s="60">
        <v>106.91578938502619</v>
      </c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</row>
    <row r="31" spans="1:16" x14ac:dyDescent="0.25">
      <c r="A31" s="60">
        <v>276.2</v>
      </c>
      <c r="B31" s="60">
        <v>115.1</v>
      </c>
      <c r="C31" s="60"/>
      <c r="D31" s="60">
        <v>275.91233337465479</v>
      </c>
      <c r="E31" s="60">
        <v>115.03985743784156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</row>
    <row r="32" spans="1:16" x14ac:dyDescent="0.25">
      <c r="A32" s="60">
        <v>190.5</v>
      </c>
      <c r="B32" s="60">
        <v>121.38</v>
      </c>
      <c r="C32" s="60"/>
      <c r="D32" s="60">
        <v>230.34895527667686</v>
      </c>
      <c r="E32" s="60">
        <v>118.74736440178992</v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</row>
    <row r="33" spans="1:16" x14ac:dyDescent="0.25">
      <c r="A33" s="60">
        <v>116.9</v>
      </c>
      <c r="B33" s="60">
        <v>116.41</v>
      </c>
      <c r="C33" s="60"/>
      <c r="D33" s="60">
        <v>191.4929118648935</v>
      </c>
      <c r="E33" s="60">
        <v>121.56878535823279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</row>
    <row r="34" spans="1:16" x14ac:dyDescent="0.25">
      <c r="A34" s="60">
        <v>0</v>
      </c>
      <c r="B34" s="60">
        <v>68.63</v>
      </c>
      <c r="C34" s="60"/>
      <c r="D34" s="60">
        <v>136.95209441041641</v>
      </c>
      <c r="E34" s="60">
        <v>118.6123147356485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</row>
    <row r="35" spans="1:16" x14ac:dyDescent="0.25">
      <c r="A35" s="60">
        <v>-133.9</v>
      </c>
      <c r="B35" s="60">
        <v>0</v>
      </c>
      <c r="C35" s="60"/>
      <c r="D35" s="60">
        <v>90.225923069743104</v>
      </c>
      <c r="E35" s="60">
        <v>105.66018043810378</v>
      </c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</row>
    <row r="36" spans="1:16" x14ac:dyDescent="0.25">
      <c r="A36" s="60"/>
      <c r="B36" s="60"/>
      <c r="C36" s="60"/>
      <c r="D36" s="60">
        <v>50.674116578922096</v>
      </c>
      <c r="E36" s="60">
        <v>89.623198309988737</v>
      </c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</row>
    <row r="37" spans="1:16" x14ac:dyDescent="0.25">
      <c r="A37" s="60"/>
      <c r="B37" s="60"/>
      <c r="C37" s="60"/>
      <c r="D37" s="60">
        <v>-5.1367022896891328</v>
      </c>
      <c r="E37" s="60">
        <v>65.749335691605026</v>
      </c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</row>
    <row r="38" spans="1:16" x14ac:dyDescent="0.25">
      <c r="A38" s="60"/>
      <c r="B38" s="60"/>
      <c r="C38" s="60"/>
      <c r="D38" s="60">
        <v>-52.435706382130782</v>
      </c>
      <c r="E38" s="60">
        <v>44.541475949055979</v>
      </c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</row>
    <row r="39" spans="1:16" x14ac:dyDescent="0.25">
      <c r="A39" s="60"/>
      <c r="B39" s="60"/>
      <c r="C39" s="60"/>
      <c r="D39" s="60">
        <v>-81.151992475066109</v>
      </c>
      <c r="E39" s="60">
        <v>31.259970522587299</v>
      </c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</row>
    <row r="40" spans="1:16" x14ac:dyDescent="0.25">
      <c r="A40" s="60"/>
      <c r="B40" s="60"/>
      <c r="C40" s="60"/>
      <c r="D40" s="60">
        <v>-132.53594007331941</v>
      </c>
      <c r="E40" s="60">
        <v>0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</row>
    <row r="41" spans="1:16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</row>
    <row r="42" spans="1:16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</row>
    <row r="43" spans="1:16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</row>
    <row r="44" spans="1:16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16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</row>
    <row r="46" spans="1:16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</row>
    <row r="47" spans="1:16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</row>
    <row r="48" spans="1:16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</row>
    <row r="49" spans="1:16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</row>
    <row r="50" spans="1:16" x14ac:dyDescent="0.2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</row>
    <row r="51" spans="1:16" x14ac:dyDescent="0.25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</row>
    <row r="52" spans="1:16" x14ac:dyDescent="0.25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</row>
    <row r="53" spans="1:16" x14ac:dyDescent="0.25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</row>
    <row r="54" spans="1:16" x14ac:dyDescent="0.25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</row>
    <row r="55" spans="1:16" x14ac:dyDescent="0.25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</row>
    <row r="56" spans="1:16" x14ac:dyDescent="0.25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</row>
    <row r="57" spans="1:16" x14ac:dyDescent="0.25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</row>
    <row r="58" spans="1:16" x14ac:dyDescent="0.25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</row>
    <row r="59" spans="1:16" x14ac:dyDescent="0.25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</row>
    <row r="60" spans="1:16" x14ac:dyDescent="0.25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</row>
    <row r="61" spans="1:16" x14ac:dyDescent="0.25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</row>
    <row r="62" spans="1:16" x14ac:dyDescent="0.25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</row>
    <row r="63" spans="1:16" x14ac:dyDescent="0.25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</row>
    <row r="64" spans="1:16" x14ac:dyDescent="0.25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</row>
    <row r="65" spans="1:16" x14ac:dyDescent="0.25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</row>
    <row r="66" spans="1:16" x14ac:dyDescent="0.25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</row>
    <row r="67" spans="1:16" x14ac:dyDescent="0.25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</row>
    <row r="68" spans="1:16" x14ac:dyDescent="0.25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</row>
    <row r="69" spans="1:16" x14ac:dyDescent="0.25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</row>
    <row r="70" spans="1:16" x14ac:dyDescent="0.25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</row>
    <row r="71" spans="1:16" x14ac:dyDescent="0.25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</row>
    <row r="72" spans="1:16" x14ac:dyDescent="0.25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</row>
    <row r="73" spans="1:16" x14ac:dyDescent="0.25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</row>
    <row r="74" spans="1:16" x14ac:dyDescent="0.25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</row>
    <row r="75" spans="1:16" x14ac:dyDescent="0.2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</row>
    <row r="76" spans="1:16" x14ac:dyDescent="0.25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</row>
    <row r="77" spans="1:16" x14ac:dyDescent="0.2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</row>
    <row r="78" spans="1:16" x14ac:dyDescent="0.2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</row>
    <row r="79" spans="1:16" x14ac:dyDescent="0.25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</row>
    <row r="80" spans="1:16" x14ac:dyDescent="0.2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</row>
    <row r="81" spans="1:16" x14ac:dyDescent="0.25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UserInput</vt:lpstr>
      <vt:lpstr>Coordinates</vt:lpstr>
      <vt:lpstr>Calculations Circular</vt:lpstr>
      <vt:lpstr>Calculations Rectangular</vt:lpstr>
      <vt:lpstr>Results</vt:lpstr>
      <vt:lpstr>Comparison</vt:lpstr>
    </vt:vector>
  </TitlesOfParts>
  <Company>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Beattie</dc:creator>
  <cp:lastModifiedBy>Lucas Beattie</cp:lastModifiedBy>
  <dcterms:created xsi:type="dcterms:W3CDTF">2023-02-15T13:59:12Z</dcterms:created>
  <dcterms:modified xsi:type="dcterms:W3CDTF">2023-02-26T14:26:08Z</dcterms:modified>
</cp:coreProperties>
</file>