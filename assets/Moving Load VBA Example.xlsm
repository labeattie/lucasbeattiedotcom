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lucas-b\Documents\coding\website\"/>
    </mc:Choice>
  </mc:AlternateContent>
  <bookViews>
    <workbookView xWindow="0" yWindow="0" windowWidth="28800" windowHeight="11700"/>
  </bookViews>
  <sheets>
    <sheet name="Calc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6" i="1" l="1"/>
  <c r="J5" i="1"/>
  <c r="I7" i="1"/>
  <c r="I8" i="1" s="1"/>
  <c r="I9" i="1" s="1"/>
  <c r="I10" i="1" s="1"/>
  <c r="I11" i="1" s="1"/>
  <c r="I12" i="1" s="1"/>
  <c r="I13" i="1" s="1"/>
  <c r="I14" i="1" s="1"/>
  <c r="I15" i="1" s="1"/>
  <c r="I16" i="1" s="1"/>
  <c r="I17" i="1" s="1"/>
  <c r="I18" i="1" s="1"/>
  <c r="I19" i="1" s="1"/>
  <c r="I20" i="1" s="1"/>
  <c r="I21" i="1" s="1"/>
  <c r="I22" i="1" s="1"/>
  <c r="I23" i="1" s="1"/>
  <c r="I24" i="1" s="1"/>
  <c r="I25" i="1" s="1"/>
  <c r="J25" i="1" s="1"/>
  <c r="C8" i="1"/>
  <c r="C10" i="1" s="1"/>
  <c r="C13" i="1" s="1"/>
  <c r="J20" i="1" l="1"/>
  <c r="J18" i="1"/>
  <c r="J14" i="1"/>
  <c r="J21" i="1"/>
  <c r="J19" i="1"/>
  <c r="J17" i="1"/>
  <c r="J16" i="1"/>
  <c r="J15" i="1"/>
  <c r="J13" i="1"/>
  <c r="J11" i="1"/>
  <c r="J10" i="1"/>
  <c r="J24" i="1"/>
  <c r="J8" i="1"/>
  <c r="J23" i="1"/>
  <c r="J7" i="1"/>
  <c r="J12" i="1"/>
  <c r="J9" i="1"/>
  <c r="J22" i="1"/>
  <c r="C11" i="1"/>
  <c r="C14" i="1" s="1"/>
  <c r="C15" i="1" s="1"/>
</calcChain>
</file>

<file path=xl/sharedStrings.xml><?xml version="1.0" encoding="utf-8"?>
<sst xmlns="http://schemas.openxmlformats.org/spreadsheetml/2006/main" count="28" uniqueCount="18">
  <si>
    <t>L</t>
  </si>
  <si>
    <t>Spacing</t>
  </si>
  <si>
    <t>a</t>
  </si>
  <si>
    <t>b</t>
  </si>
  <si>
    <t>P</t>
  </si>
  <si>
    <t>kip</t>
  </si>
  <si>
    <t>ft</t>
  </si>
  <si>
    <t>kip-ft</t>
  </si>
  <si>
    <t>α</t>
  </si>
  <si>
    <t>Moving Load Calculator</t>
  </si>
  <si>
    <t>Two Equal Point Loads</t>
  </si>
  <si>
    <r>
      <t>R</t>
    </r>
    <r>
      <rPr>
        <vertAlign val="subscript"/>
        <sz val="11"/>
        <color theme="1"/>
        <rFont val="Calibri"/>
        <family val="2"/>
        <scheme val="minor"/>
      </rPr>
      <t>1</t>
    </r>
  </si>
  <si>
    <r>
      <t>R</t>
    </r>
    <r>
      <rPr>
        <vertAlign val="subscript"/>
        <sz val="11"/>
        <color theme="1"/>
        <rFont val="Calibri"/>
        <family val="2"/>
        <scheme val="minor"/>
      </rPr>
      <t>2</t>
    </r>
  </si>
  <si>
    <r>
      <t>M</t>
    </r>
    <r>
      <rPr>
        <vertAlign val="subscript"/>
        <sz val="11"/>
        <color theme="1"/>
        <rFont val="Calibri"/>
        <family val="2"/>
        <scheme val="minor"/>
      </rPr>
      <t>1</t>
    </r>
  </si>
  <si>
    <r>
      <t>M</t>
    </r>
    <r>
      <rPr>
        <vertAlign val="subscript"/>
        <sz val="11"/>
        <color theme="1"/>
        <rFont val="Calibri"/>
        <family val="2"/>
        <scheme val="minor"/>
      </rPr>
      <t>2</t>
    </r>
  </si>
  <si>
    <r>
      <t>M</t>
    </r>
    <r>
      <rPr>
        <vertAlign val="subscript"/>
        <sz val="11"/>
        <color theme="1"/>
        <rFont val="Calibri"/>
        <family val="2"/>
        <scheme val="minor"/>
      </rPr>
      <t>max</t>
    </r>
  </si>
  <si>
    <t>Input &amp; Output</t>
  </si>
  <si>
    <r>
      <t>M</t>
    </r>
    <r>
      <rPr>
        <b/>
        <vertAlign val="subscript"/>
        <sz val="11"/>
        <color theme="0"/>
        <rFont val="Calibri"/>
        <family val="2"/>
        <scheme val="minor"/>
      </rPr>
      <t>max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</si>
</sst>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6" formatCode="0.0"/>
  </numFmts>
  <fonts count="12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Arial"/>
      <family val="2"/>
    </font>
    <font>
      <i/>
      <sz val="10"/>
      <color theme="1"/>
      <name val="Arial"/>
      <family val="2"/>
    </font>
    <font>
      <i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1"/>
      <color theme="0"/>
      <name val="Calibri"/>
      <family val="2"/>
    </font>
    <font>
      <i/>
      <sz val="11"/>
      <color theme="0"/>
      <name val="Calibri"/>
      <family val="2"/>
      <scheme val="minor"/>
    </font>
    <font>
      <b/>
      <vertAlign val="subscript"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theme="6" tint="0.79998168889431442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/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  <border>
      <left style="thin">
        <color theme="6" tint="0.39997558519241921"/>
      </left>
      <right/>
      <top style="thin">
        <color theme="6" tint="0.39997558519241921"/>
      </top>
      <bottom/>
      <diagonal/>
    </border>
    <border>
      <left/>
      <right/>
      <top style="thin">
        <color theme="6" tint="0.39997558519241921"/>
      </top>
      <bottom/>
      <diagonal/>
    </border>
    <border>
      <left/>
      <right style="thin">
        <color theme="6" tint="0.39997558519241921"/>
      </right>
      <top style="thin">
        <color theme="6" tint="0.39997558519241921"/>
      </top>
      <bottom/>
      <diagonal/>
    </border>
    <border>
      <left/>
      <right/>
      <top/>
      <bottom style="thin">
        <color theme="6" tint="0.39997558519241921"/>
      </bottom>
      <diagonal/>
    </border>
    <border>
      <left/>
      <right style="thin">
        <color theme="6" tint="0.39997558519241921"/>
      </right>
      <top/>
      <bottom/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3" fillId="3" borderId="1" applyNumberFormat="0" applyAlignment="0" applyProtection="0"/>
    <xf numFmtId="0" fontId="4" fillId="4" borderId="3" applyNumberFormat="0" applyAlignment="0" applyProtection="0"/>
  </cellStyleXfs>
  <cellXfs count="25">
    <xf numFmtId="0" fontId="0" fillId="0" borderId="0" xfId="0"/>
    <xf numFmtId="0" fontId="5" fillId="0" borderId="0" xfId="0" applyFont="1"/>
    <xf numFmtId="0" fontId="6" fillId="0" borderId="0" xfId="0" applyFont="1"/>
    <xf numFmtId="0" fontId="0" fillId="0" borderId="0" xfId="0" applyAlignment="1">
      <alignment horizontal="center"/>
    </xf>
    <xf numFmtId="0" fontId="1" fillId="2" borderId="1" xfId="1" applyAlignment="1">
      <alignment horizontal="center"/>
    </xf>
    <xf numFmtId="0" fontId="3" fillId="3" borderId="1" xfId="3" applyAlignment="1">
      <alignment horizontal="center"/>
    </xf>
    <xf numFmtId="0" fontId="4" fillId="4" borderId="3" xfId="4" applyAlignment="1">
      <alignment horizontal="center"/>
    </xf>
    <xf numFmtId="0" fontId="0" fillId="0" borderId="0" xfId="0" applyAlignment="1">
      <alignment horizontal="right" indent="1"/>
    </xf>
    <xf numFmtId="0" fontId="7" fillId="0" borderId="0" xfId="0" applyFont="1" applyAlignment="1">
      <alignment horizontal="left" indent="1"/>
    </xf>
    <xf numFmtId="0" fontId="9" fillId="5" borderId="0" xfId="0" applyFont="1" applyFill="1" applyBorder="1" applyAlignment="1">
      <alignment horizontal="center" vertical="center"/>
    </xf>
    <xf numFmtId="0" fontId="9" fillId="5" borderId="10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10" fillId="5" borderId="0" xfId="0" applyFont="1" applyFill="1" applyBorder="1" applyAlignment="1">
      <alignment horizontal="center"/>
    </xf>
    <xf numFmtId="0" fontId="10" fillId="5" borderId="11" xfId="0" applyFont="1" applyFill="1" applyBorder="1" applyAlignment="1">
      <alignment horizontal="center"/>
    </xf>
    <xf numFmtId="2" fontId="0" fillId="6" borderId="7" xfId="0" applyNumberFormat="1" applyFont="1" applyFill="1" applyBorder="1" applyAlignment="1">
      <alignment horizontal="center"/>
    </xf>
    <xf numFmtId="166" fontId="0" fillId="6" borderId="8" xfId="0" applyNumberFormat="1" applyFont="1" applyFill="1" applyBorder="1" applyAlignment="1">
      <alignment horizontal="center"/>
    </xf>
    <xf numFmtId="2" fontId="0" fillId="0" borderId="7" xfId="0" applyNumberFormat="1" applyFont="1" applyBorder="1" applyAlignment="1">
      <alignment horizontal="center"/>
    </xf>
    <xf numFmtId="166" fontId="0" fillId="0" borderId="8" xfId="0" applyNumberFormat="1" applyFont="1" applyBorder="1" applyAlignment="1">
      <alignment horizontal="center"/>
    </xf>
    <xf numFmtId="2" fontId="0" fillId="6" borderId="4" xfId="0" applyNumberFormat="1" applyFont="1" applyFill="1" applyBorder="1" applyAlignment="1">
      <alignment horizontal="center"/>
    </xf>
    <xf numFmtId="166" fontId="0" fillId="6" borderId="5" xfId="0" applyNumberFormat="1" applyFont="1" applyFill="1" applyBorder="1" applyAlignment="1">
      <alignment horizontal="center"/>
    </xf>
    <xf numFmtId="0" fontId="2" fillId="3" borderId="2" xfId="2" applyAlignment="1">
      <alignment horizontal="center"/>
    </xf>
    <xf numFmtId="2" fontId="0" fillId="6" borderId="9" xfId="0" applyNumberFormat="1" applyFont="1" applyFill="1" applyBorder="1" applyAlignment="1">
      <alignment horizontal="center"/>
    </xf>
    <xf numFmtId="2" fontId="0" fillId="0" borderId="9" xfId="0" applyNumberFormat="1" applyFont="1" applyBorder="1" applyAlignment="1">
      <alignment horizontal="center"/>
    </xf>
    <xf numFmtId="2" fontId="0" fillId="6" borderId="6" xfId="0" applyNumberFormat="1" applyFont="1" applyFill="1" applyBorder="1" applyAlignment="1">
      <alignment horizontal="center"/>
    </xf>
  </cellXfs>
  <cellStyles count="5">
    <cellStyle name="Calculation" xfId="3" builtinId="22"/>
    <cellStyle name="Check Cell" xfId="4" builtinId="23"/>
    <cellStyle name="Input" xfId="1" builtinId="20"/>
    <cellStyle name="Normal" xfId="0" builtinId="0"/>
    <cellStyle name="Output" xfId="2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16</xdr:row>
      <xdr:rowOff>0</xdr:rowOff>
    </xdr:from>
    <xdr:to>
      <xdr:col>7</xdr:col>
      <xdr:colOff>28575</xdr:colOff>
      <xdr:row>25</xdr:row>
      <xdr:rowOff>157283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" y="3086100"/>
          <a:ext cx="3819525" cy="2214683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K50"/>
  <sheetViews>
    <sheetView showGridLines="0" tabSelected="1" workbookViewId="0">
      <selection activeCell="G7" sqref="G7"/>
    </sheetView>
  </sheetViews>
  <sheetFormatPr defaultColWidth="0" defaultRowHeight="15" zeroHeight="1" x14ac:dyDescent="0.25"/>
  <cols>
    <col min="1" max="1" width="5.7109375" customWidth="1"/>
    <col min="2" max="2" width="11.140625" customWidth="1"/>
    <col min="3" max="11" width="9.140625" customWidth="1"/>
    <col min="12" max="12" width="5.7109375" customWidth="1"/>
    <col min="13" max="16384" width="9.140625" hidden="1"/>
  </cols>
  <sheetData>
    <row r="1" spans="2:11" x14ac:dyDescent="0.25"/>
    <row r="2" spans="2:11" x14ac:dyDescent="0.25">
      <c r="B2" s="1" t="s">
        <v>9</v>
      </c>
      <c r="I2" s="1" t="s">
        <v>16</v>
      </c>
    </row>
    <row r="3" spans="2:11" ht="18" customHeight="1" x14ac:dyDescent="0.35">
      <c r="B3" s="2" t="s">
        <v>10</v>
      </c>
      <c r="I3" s="9" t="s">
        <v>8</v>
      </c>
      <c r="J3" s="11" t="s">
        <v>2</v>
      </c>
      <c r="K3" s="12" t="s">
        <v>17</v>
      </c>
    </row>
    <row r="4" spans="2:11" ht="18" customHeight="1" x14ac:dyDescent="0.25">
      <c r="B4" s="7" t="s">
        <v>4</v>
      </c>
      <c r="C4" s="4">
        <v>10</v>
      </c>
      <c r="D4" s="8" t="s">
        <v>5</v>
      </c>
      <c r="I4" s="10"/>
      <c r="J4" s="13" t="s">
        <v>6</v>
      </c>
      <c r="K4" s="14" t="s">
        <v>7</v>
      </c>
    </row>
    <row r="5" spans="2:11" ht="18" customHeight="1" x14ac:dyDescent="0.25">
      <c r="B5" s="7" t="s">
        <v>0</v>
      </c>
      <c r="C5" s="4">
        <v>20</v>
      </c>
      <c r="D5" s="8" t="s">
        <v>6</v>
      </c>
      <c r="I5" s="15">
        <v>0</v>
      </c>
      <c r="J5" s="16">
        <f>I5*($C$5-$C$6)</f>
        <v>0</v>
      </c>
      <c r="K5" s="22"/>
    </row>
    <row r="6" spans="2:11" ht="18" customHeight="1" thickBot="1" x14ac:dyDescent="0.3">
      <c r="B6" s="7" t="s">
        <v>1</v>
      </c>
      <c r="C6" s="4">
        <v>4</v>
      </c>
      <c r="D6" s="8" t="s">
        <v>6</v>
      </c>
      <c r="I6" s="17">
        <v>0.05</v>
      </c>
      <c r="J6" s="18">
        <f t="shared" ref="J6:J25" si="0">I6*($C$5-$C$6)</f>
        <v>0.8</v>
      </c>
      <c r="K6" s="23"/>
    </row>
    <row r="7" spans="2:11" ht="18" customHeight="1" thickTop="1" thickBot="1" x14ac:dyDescent="0.3">
      <c r="B7" s="7" t="s">
        <v>2</v>
      </c>
      <c r="C7" s="6">
        <v>1</v>
      </c>
      <c r="D7" s="8" t="s">
        <v>6</v>
      </c>
      <c r="I7" s="15">
        <f>I6+0.05</f>
        <v>0.1</v>
      </c>
      <c r="J7" s="16">
        <f t="shared" si="0"/>
        <v>1.6</v>
      </c>
      <c r="K7" s="22"/>
    </row>
    <row r="8" spans="2:11" ht="18" customHeight="1" thickTop="1" x14ac:dyDescent="0.25">
      <c r="B8" s="7" t="s">
        <v>3</v>
      </c>
      <c r="C8" s="5">
        <f>C5-C7-C6</f>
        <v>15</v>
      </c>
      <c r="D8" s="8" t="s">
        <v>6</v>
      </c>
      <c r="I8" s="17">
        <f>I7+0.05</f>
        <v>0.15000000000000002</v>
      </c>
      <c r="J8" s="18">
        <f t="shared" si="0"/>
        <v>2.4000000000000004</v>
      </c>
      <c r="K8" s="23"/>
    </row>
    <row r="9" spans="2:11" ht="18" customHeight="1" x14ac:dyDescent="0.25">
      <c r="B9" s="7"/>
      <c r="C9" s="3"/>
      <c r="D9" s="8"/>
      <c r="I9" s="15">
        <f>I8+0.05</f>
        <v>0.2</v>
      </c>
      <c r="J9" s="16">
        <f t="shared" si="0"/>
        <v>3.2</v>
      </c>
      <c r="K9" s="22"/>
    </row>
    <row r="10" spans="2:11" ht="18" customHeight="1" x14ac:dyDescent="0.35">
      <c r="B10" s="7" t="s">
        <v>11</v>
      </c>
      <c r="C10" s="5">
        <f>C4/C5*(C5-C7+C8)</f>
        <v>17</v>
      </c>
      <c r="D10" s="8" t="s">
        <v>5</v>
      </c>
      <c r="I10" s="17">
        <f>I9+0.05</f>
        <v>0.25</v>
      </c>
      <c r="J10" s="18">
        <f t="shared" si="0"/>
        <v>4</v>
      </c>
      <c r="K10" s="23"/>
    </row>
    <row r="11" spans="2:11" ht="18" customHeight="1" x14ac:dyDescent="0.35">
      <c r="B11" s="7" t="s">
        <v>12</v>
      </c>
      <c r="C11" s="5">
        <f>C4/C5*(C5-C8+C7)</f>
        <v>3</v>
      </c>
      <c r="D11" s="8" t="s">
        <v>5</v>
      </c>
      <c r="I11" s="15">
        <f>I10+0.05</f>
        <v>0.3</v>
      </c>
      <c r="J11" s="16">
        <f t="shared" si="0"/>
        <v>4.8</v>
      </c>
      <c r="K11" s="22"/>
    </row>
    <row r="12" spans="2:11" ht="18" customHeight="1" x14ac:dyDescent="0.25">
      <c r="B12" s="7"/>
      <c r="C12" s="3"/>
      <c r="D12" s="8"/>
      <c r="I12" s="17">
        <f>I11+0.05</f>
        <v>0.35</v>
      </c>
      <c r="J12" s="18">
        <f t="shared" si="0"/>
        <v>5.6</v>
      </c>
      <c r="K12" s="23"/>
    </row>
    <row r="13" spans="2:11" ht="18" customHeight="1" x14ac:dyDescent="0.35">
      <c r="B13" s="7" t="s">
        <v>13</v>
      </c>
      <c r="C13" s="5">
        <f>C10*C7</f>
        <v>17</v>
      </c>
      <c r="D13" s="8" t="s">
        <v>7</v>
      </c>
      <c r="I13" s="15">
        <f>I12+0.05</f>
        <v>0.39999999999999997</v>
      </c>
      <c r="J13" s="16">
        <f t="shared" si="0"/>
        <v>6.3999999999999995</v>
      </c>
      <c r="K13" s="22"/>
    </row>
    <row r="14" spans="2:11" ht="18" customHeight="1" x14ac:dyDescent="0.35">
      <c r="B14" s="7" t="s">
        <v>14</v>
      </c>
      <c r="C14" s="5">
        <f>C11*C8</f>
        <v>45</v>
      </c>
      <c r="D14" s="8" t="s">
        <v>7</v>
      </c>
      <c r="I14" s="17">
        <f>I13+0.05</f>
        <v>0.44999999999999996</v>
      </c>
      <c r="J14" s="18">
        <f t="shared" si="0"/>
        <v>7.1999999999999993</v>
      </c>
      <c r="K14" s="23"/>
    </row>
    <row r="15" spans="2:11" ht="18" customHeight="1" x14ac:dyDescent="0.35">
      <c r="B15" s="7" t="s">
        <v>15</v>
      </c>
      <c r="C15" s="21">
        <f>MAX(C13:C14)</f>
        <v>45</v>
      </c>
      <c r="D15" s="8" t="s">
        <v>7</v>
      </c>
      <c r="I15" s="15">
        <f>I14+0.05</f>
        <v>0.49999999999999994</v>
      </c>
      <c r="J15" s="16">
        <f t="shared" si="0"/>
        <v>7.9999999999999991</v>
      </c>
      <c r="K15" s="22"/>
    </row>
    <row r="16" spans="2:11" ht="18" customHeight="1" x14ac:dyDescent="0.25">
      <c r="I16" s="17">
        <f>I15+0.05</f>
        <v>0.54999999999999993</v>
      </c>
      <c r="J16" s="18">
        <f t="shared" si="0"/>
        <v>8.7999999999999989</v>
      </c>
      <c r="K16" s="23"/>
    </row>
    <row r="17" spans="9:11" ht="18" customHeight="1" x14ac:dyDescent="0.25">
      <c r="I17" s="15">
        <f>I16+0.05</f>
        <v>0.6</v>
      </c>
      <c r="J17" s="16">
        <f t="shared" si="0"/>
        <v>9.6</v>
      </c>
      <c r="K17" s="22"/>
    </row>
    <row r="18" spans="9:11" ht="18" customHeight="1" x14ac:dyDescent="0.25">
      <c r="I18" s="17">
        <f>I17+0.05</f>
        <v>0.65</v>
      </c>
      <c r="J18" s="18">
        <f t="shared" si="0"/>
        <v>10.4</v>
      </c>
      <c r="K18" s="23"/>
    </row>
    <row r="19" spans="9:11" ht="18" customHeight="1" x14ac:dyDescent="0.25">
      <c r="I19" s="15">
        <f>I18+0.05</f>
        <v>0.70000000000000007</v>
      </c>
      <c r="J19" s="16">
        <f t="shared" si="0"/>
        <v>11.200000000000001</v>
      </c>
      <c r="K19" s="22"/>
    </row>
    <row r="20" spans="9:11" ht="18" customHeight="1" x14ac:dyDescent="0.25">
      <c r="I20" s="17">
        <f>I19+0.05</f>
        <v>0.75000000000000011</v>
      </c>
      <c r="J20" s="18">
        <f t="shared" si="0"/>
        <v>12.000000000000002</v>
      </c>
      <c r="K20" s="23"/>
    </row>
    <row r="21" spans="9:11" ht="18" customHeight="1" x14ac:dyDescent="0.25">
      <c r="I21" s="15">
        <f>I20+0.05</f>
        <v>0.80000000000000016</v>
      </c>
      <c r="J21" s="16">
        <f t="shared" si="0"/>
        <v>12.800000000000002</v>
      </c>
      <c r="K21" s="22"/>
    </row>
    <row r="22" spans="9:11" ht="18" customHeight="1" x14ac:dyDescent="0.25">
      <c r="I22" s="17">
        <f>I21+0.05</f>
        <v>0.8500000000000002</v>
      </c>
      <c r="J22" s="18">
        <f t="shared" si="0"/>
        <v>13.600000000000003</v>
      </c>
      <c r="K22" s="23"/>
    </row>
    <row r="23" spans="9:11" ht="18" customHeight="1" x14ac:dyDescent="0.25">
      <c r="I23" s="15">
        <f>I22+0.05</f>
        <v>0.90000000000000024</v>
      </c>
      <c r="J23" s="16">
        <f t="shared" si="0"/>
        <v>14.400000000000004</v>
      </c>
      <c r="K23" s="22"/>
    </row>
    <row r="24" spans="9:11" ht="18" customHeight="1" x14ac:dyDescent="0.25">
      <c r="I24" s="17">
        <f>I23+0.05</f>
        <v>0.95000000000000029</v>
      </c>
      <c r="J24" s="18">
        <f t="shared" si="0"/>
        <v>15.200000000000005</v>
      </c>
      <c r="K24" s="23"/>
    </row>
    <row r="25" spans="9:11" ht="18" customHeight="1" x14ac:dyDescent="0.25">
      <c r="I25" s="19">
        <f>I24+0.05</f>
        <v>1.0000000000000002</v>
      </c>
      <c r="J25" s="20">
        <f t="shared" si="0"/>
        <v>16.000000000000004</v>
      </c>
      <c r="K25" s="24"/>
    </row>
    <row r="26" spans="9:11" ht="18" customHeight="1" x14ac:dyDescent="0.25"/>
    <row r="27" spans="9:11" ht="18" customHeight="1" x14ac:dyDescent="0.25"/>
    <row r="28" spans="9:11" ht="18" hidden="1" customHeight="1" x14ac:dyDescent="0.25"/>
    <row r="29" spans="9:11" ht="18" hidden="1" customHeight="1" x14ac:dyDescent="0.25"/>
    <row r="30" spans="9:11" ht="18" hidden="1" customHeight="1" x14ac:dyDescent="0.25"/>
    <row r="31" spans="9:11" ht="18" hidden="1" customHeight="1" x14ac:dyDescent="0.25"/>
    <row r="32" spans="9:11" ht="18" hidden="1" customHeight="1" x14ac:dyDescent="0.25"/>
    <row r="33" ht="18" hidden="1" customHeight="1" x14ac:dyDescent="0.25"/>
    <row r="34" ht="18" hidden="1" customHeight="1" x14ac:dyDescent="0.25"/>
    <row r="35" ht="18" hidden="1" customHeight="1" x14ac:dyDescent="0.25"/>
    <row r="36" ht="18" hidden="1" customHeight="1" x14ac:dyDescent="0.25"/>
    <row r="37" ht="18" hidden="1" customHeight="1" x14ac:dyDescent="0.25"/>
    <row r="38" ht="18" hidden="1" customHeight="1" x14ac:dyDescent="0.25"/>
    <row r="39" ht="18" hidden="1" customHeight="1" x14ac:dyDescent="0.25"/>
    <row r="40" ht="18" hidden="1" customHeight="1" x14ac:dyDescent="0.25"/>
    <row r="41" ht="18" hidden="1" customHeight="1" x14ac:dyDescent="0.25"/>
    <row r="42" ht="18" hidden="1" customHeight="1" x14ac:dyDescent="0.25"/>
    <row r="43" ht="18" hidden="1" customHeight="1" x14ac:dyDescent="0.25"/>
    <row r="44" ht="18" hidden="1" customHeight="1" x14ac:dyDescent="0.25"/>
    <row r="45" ht="18" hidden="1" customHeight="1" x14ac:dyDescent="0.25"/>
    <row r="46" ht="18" hidden="1" customHeight="1" x14ac:dyDescent="0.25"/>
    <row r="47" ht="18" hidden="1" customHeight="1" x14ac:dyDescent="0.25"/>
    <row r="48" ht="18" hidden="1" customHeight="1" x14ac:dyDescent="0.25"/>
    <row r="49" ht="18" hidden="1" customHeight="1" x14ac:dyDescent="0.25"/>
    <row r="50" ht="18" hidden="1" customHeight="1" x14ac:dyDescent="0.25"/>
  </sheetData>
  <mergeCells count="1">
    <mergeCell ref="I3:I4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Calc</vt:lpstr>
    </vt:vector>
  </TitlesOfParts>
  <Company>ORG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Beattie</dc:creator>
  <cp:lastModifiedBy>Lucas Beattie</cp:lastModifiedBy>
  <dcterms:created xsi:type="dcterms:W3CDTF">2023-01-11T14:39:46Z</dcterms:created>
  <dcterms:modified xsi:type="dcterms:W3CDTF">2023-01-12T14:00:49Z</dcterms:modified>
</cp:coreProperties>
</file>