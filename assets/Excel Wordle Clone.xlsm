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s-b\Documents\excel portfolio\exrm working\wordle\"/>
    </mc:Choice>
  </mc:AlternateContent>
  <bookViews>
    <workbookView xWindow="0" yWindow="0" windowWidth="11970" windowHeight="4065"/>
  </bookViews>
  <sheets>
    <sheet name="Wordle" sheetId="4" r:id="rId1"/>
    <sheet name="Stats_dark" sheetId="9" state="hidden" r:id="rId2"/>
    <sheet name="Stats_light" sheetId="15" state="hidden" r:id="rId3"/>
    <sheet name="Instructions" sheetId="7" state="hidden" r:id="rId4"/>
    <sheet name="Administrator" sheetId="12" state="hidden" r:id="rId5"/>
    <sheet name="User Scores" sheetId="13" state="hidden" r:id="rId6"/>
    <sheet name="to copy" sheetId="8" state="hidden" r:id="rId7"/>
    <sheet name="wordle word list" sheetId="2" state="hidden" r:id="rId8"/>
    <sheet name="keyboard working" sheetId="5" state="hidden" r:id="rId9"/>
  </sheets>
  <definedNames>
    <definedName name="_xlnm._FilterDatabase" localSheetId="7" hidden="1">'wordle word list'!$A$1:$B$2317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H3" i="15"/>
  <c r="K3" i="9"/>
  <c r="J3" i="9"/>
  <c r="H3" i="9" l="1"/>
  <c r="I13" i="15" l="1"/>
  <c r="C13" i="15"/>
  <c r="I12" i="15"/>
  <c r="C12" i="15"/>
  <c r="I11" i="15"/>
  <c r="C11" i="15"/>
  <c r="I10" i="15"/>
  <c r="C10" i="15"/>
  <c r="I9" i="15"/>
  <c r="C9" i="15"/>
  <c r="I8" i="15"/>
  <c r="C8" i="15"/>
  <c r="E3" i="15"/>
  <c r="D3" i="15"/>
  <c r="I13" i="9"/>
  <c r="I12" i="9"/>
  <c r="I11" i="9"/>
  <c r="I10" i="9"/>
  <c r="I9" i="9"/>
  <c r="I8" i="9"/>
  <c r="C9" i="9"/>
  <c r="C10" i="9"/>
  <c r="C11" i="9"/>
  <c r="C12" i="9"/>
  <c r="C13" i="9"/>
  <c r="C8" i="9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C352" i="2" s="1"/>
  <c r="C353" i="2" s="1"/>
  <c r="C354" i="2" s="1"/>
  <c r="C355" i="2" s="1"/>
  <c r="C356" i="2" s="1"/>
  <c r="C357" i="2" s="1"/>
  <c r="C358" i="2" s="1"/>
  <c r="C359" i="2" s="1"/>
  <c r="C360" i="2" s="1"/>
  <c r="C361" i="2" s="1"/>
  <c r="C362" i="2" s="1"/>
  <c r="C363" i="2" s="1"/>
  <c r="C364" i="2" s="1"/>
  <c r="C365" i="2" s="1"/>
  <c r="C366" i="2" s="1"/>
  <c r="C367" i="2" s="1"/>
  <c r="C368" i="2" s="1"/>
  <c r="C369" i="2" s="1"/>
  <c r="C370" i="2" s="1"/>
  <c r="C371" i="2" s="1"/>
  <c r="C372" i="2" s="1"/>
  <c r="C373" i="2" s="1"/>
  <c r="C374" i="2" s="1"/>
  <c r="C375" i="2" s="1"/>
  <c r="C376" i="2" s="1"/>
  <c r="C377" i="2" s="1"/>
  <c r="C378" i="2" s="1"/>
  <c r="C379" i="2" s="1"/>
  <c r="C380" i="2" s="1"/>
  <c r="C381" i="2" s="1"/>
  <c r="C382" i="2" s="1"/>
  <c r="C383" i="2" s="1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37" i="2" s="1"/>
  <c r="C438" i="2" s="1"/>
  <c r="C439" i="2" s="1"/>
  <c r="C440" i="2" s="1"/>
  <c r="C441" i="2" s="1"/>
  <c r="C442" i="2" s="1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C486" i="2" s="1"/>
  <c r="C487" i="2" s="1"/>
  <c r="C488" i="2" s="1"/>
  <c r="C489" i="2" s="1"/>
  <c r="C490" i="2" s="1"/>
  <c r="C491" i="2" s="1"/>
  <c r="C492" i="2" s="1"/>
  <c r="C493" i="2" s="1"/>
  <c r="C494" i="2" s="1"/>
  <c r="C495" i="2" s="1"/>
  <c r="C496" i="2" s="1"/>
  <c r="C497" i="2" s="1"/>
  <c r="C498" i="2" s="1"/>
  <c r="C499" i="2" s="1"/>
  <c r="C500" i="2" s="1"/>
  <c r="C501" i="2" s="1"/>
  <c r="C502" i="2" s="1"/>
  <c r="C503" i="2" s="1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C546" i="2" s="1"/>
  <c r="C547" i="2" s="1"/>
  <c r="C548" i="2" s="1"/>
  <c r="C549" i="2" s="1"/>
  <c r="C550" i="2" s="1"/>
  <c r="C551" i="2" s="1"/>
  <c r="C552" i="2" s="1"/>
  <c r="C553" i="2" s="1"/>
  <c r="C554" i="2" s="1"/>
  <c r="C555" i="2" s="1"/>
  <c r="C556" i="2" s="1"/>
  <c r="C557" i="2" s="1"/>
  <c r="C558" i="2" s="1"/>
  <c r="C559" i="2" s="1"/>
  <c r="C560" i="2" s="1"/>
  <c r="C561" i="2" s="1"/>
  <c r="C562" i="2" s="1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C602" i="2" s="1"/>
  <c r="C603" i="2" s="1"/>
  <c r="C604" i="2" s="1"/>
  <c r="C605" i="2" s="1"/>
  <c r="C606" i="2" s="1"/>
  <c r="C607" i="2" s="1"/>
  <c r="C608" i="2" s="1"/>
  <c r="C609" i="2" s="1"/>
  <c r="C610" i="2" s="1"/>
  <c r="C611" i="2" s="1"/>
  <c r="C612" i="2" s="1"/>
  <c r="C613" i="2" s="1"/>
  <c r="C614" i="2" s="1"/>
  <c r="C615" i="2" s="1"/>
  <c r="C616" i="2" s="1"/>
  <c r="C617" i="2" s="1"/>
  <c r="C618" i="2" s="1"/>
  <c r="C619" i="2" s="1"/>
  <c r="C620" i="2" s="1"/>
  <c r="C621" i="2" s="1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C666" i="2" s="1"/>
  <c r="C667" i="2" s="1"/>
  <c r="C668" i="2" s="1"/>
  <c r="C669" i="2" s="1"/>
  <c r="C670" i="2" s="1"/>
  <c r="C671" i="2" s="1"/>
  <c r="C672" i="2" s="1"/>
  <c r="C673" i="2" s="1"/>
  <c r="C674" i="2" s="1"/>
  <c r="C675" i="2" s="1"/>
  <c r="C676" i="2" s="1"/>
  <c r="C677" i="2" s="1"/>
  <c r="C678" i="2" s="1"/>
  <c r="C679" i="2" s="1"/>
  <c r="C680" i="2" s="1"/>
  <c r="C681" i="2" s="1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C726" i="2" s="1"/>
  <c r="C727" i="2" s="1"/>
  <c r="C728" i="2" s="1"/>
  <c r="C729" i="2" s="1"/>
  <c r="C730" i="2" s="1"/>
  <c r="C731" i="2" s="1"/>
  <c r="C732" i="2" s="1"/>
  <c r="C733" i="2" s="1"/>
  <c r="C734" i="2" s="1"/>
  <c r="C735" i="2" s="1"/>
  <c r="C736" i="2" s="1"/>
  <c r="C737" i="2" s="1"/>
  <c r="C738" i="2" s="1"/>
  <c r="C739" i="2" s="1"/>
  <c r="C740" i="2" s="1"/>
  <c r="C741" i="2" s="1"/>
  <c r="C742" i="2" s="1"/>
  <c r="C743" i="2" s="1"/>
  <c r="C744" i="2" s="1"/>
  <c r="C745" i="2" s="1"/>
  <c r="C746" i="2" s="1"/>
  <c r="C747" i="2" s="1"/>
  <c r="C748" i="2" s="1"/>
  <c r="C749" i="2" s="1"/>
  <c r="C750" i="2" s="1"/>
  <c r="C751" i="2" s="1"/>
  <c r="C752" i="2" s="1"/>
  <c r="C753" i="2" s="1"/>
  <c r="C754" i="2" s="1"/>
  <c r="C755" i="2" s="1"/>
  <c r="C756" i="2" s="1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C800" i="2" s="1"/>
  <c r="C801" i="2" s="1"/>
  <c r="C802" i="2" s="1"/>
  <c r="C803" i="2" s="1"/>
  <c r="C804" i="2" s="1"/>
  <c r="C805" i="2" s="1"/>
  <c r="C806" i="2" s="1"/>
  <c r="C807" i="2" s="1"/>
  <c r="C808" i="2" s="1"/>
  <c r="C809" i="2" s="1"/>
  <c r="C810" i="2" s="1"/>
  <c r="C811" i="2" s="1"/>
  <c r="C812" i="2" s="1"/>
  <c r="C813" i="2" s="1"/>
  <c r="C814" i="2" s="1"/>
  <c r="C815" i="2" s="1"/>
  <c r="C816" i="2" s="1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C860" i="2" s="1"/>
  <c r="C861" i="2" s="1"/>
  <c r="C862" i="2" s="1"/>
  <c r="C863" i="2" s="1"/>
  <c r="C864" i="2" s="1"/>
  <c r="C865" i="2" s="1"/>
  <c r="C866" i="2" s="1"/>
  <c r="C867" i="2" s="1"/>
  <c r="C868" i="2" s="1"/>
  <c r="C869" i="2" s="1"/>
  <c r="C870" i="2" s="1"/>
  <c r="C871" i="2" s="1"/>
  <c r="C872" i="2" s="1"/>
  <c r="C873" i="2" s="1"/>
  <c r="C874" i="2" s="1"/>
  <c r="C875" i="2" s="1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C902" i="2" s="1"/>
  <c r="C903" i="2" s="1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C920" i="2" s="1"/>
  <c r="C921" i="2" s="1"/>
  <c r="C922" i="2" s="1"/>
  <c r="C923" i="2" s="1"/>
  <c r="C924" i="2" s="1"/>
  <c r="C925" i="2" s="1"/>
  <c r="C926" i="2" s="1"/>
  <c r="C927" i="2" s="1"/>
  <c r="C928" i="2" s="1"/>
  <c r="C929" i="2" s="1"/>
  <c r="C930" i="2" s="1"/>
  <c r="C931" i="2" s="1"/>
  <c r="C932" i="2" s="1"/>
  <c r="C933" i="2" s="1"/>
  <c r="C934" i="2" s="1"/>
  <c r="C935" i="2" s="1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C980" i="2" s="1"/>
  <c r="C981" i="2" s="1"/>
  <c r="C982" i="2" s="1"/>
  <c r="C983" i="2" s="1"/>
  <c r="C984" i="2" s="1"/>
  <c r="C985" i="2" s="1"/>
  <c r="C986" i="2" s="1"/>
  <c r="C987" i="2" s="1"/>
  <c r="C988" i="2" s="1"/>
  <c r="C989" i="2" s="1"/>
  <c r="C990" i="2" s="1"/>
  <c r="C991" i="2" s="1"/>
  <c r="C992" i="2" s="1"/>
  <c r="C993" i="2" s="1"/>
  <c r="C994" i="2" s="1"/>
  <c r="C995" i="2" s="1"/>
  <c r="C996" i="2" s="1"/>
  <c r="C997" i="2" s="1"/>
  <c r="C998" i="2" s="1"/>
  <c r="C999" i="2" s="1"/>
  <c r="C1000" i="2" s="1"/>
  <c r="C1001" i="2" s="1"/>
  <c r="C1002" i="2" s="1"/>
  <c r="C1003" i="2" s="1"/>
  <c r="C1004" i="2" s="1"/>
  <c r="C1005" i="2" s="1"/>
  <c r="C1006" i="2" s="1"/>
  <c r="C1007" i="2" s="1"/>
  <c r="C1008" i="2" s="1"/>
  <c r="C1009" i="2" s="1"/>
  <c r="C1010" i="2" s="1"/>
  <c r="C1011" i="2" s="1"/>
  <c r="C1012" i="2" s="1"/>
  <c r="C1013" i="2" s="1"/>
  <c r="C1014" i="2" s="1"/>
  <c r="C1015" i="2" s="1"/>
  <c r="C1016" i="2" s="1"/>
  <c r="C1017" i="2" s="1"/>
  <c r="C1018" i="2" s="1"/>
  <c r="C1019" i="2" s="1"/>
  <c r="C1020" i="2" s="1"/>
  <c r="C1021" i="2" s="1"/>
  <c r="C1022" i="2" s="1"/>
  <c r="C1023" i="2" s="1"/>
  <c r="C1024" i="2" s="1"/>
  <c r="C1025" i="2" s="1"/>
  <c r="C1026" i="2" s="1"/>
  <c r="C1027" i="2" s="1"/>
  <c r="C1028" i="2" s="1"/>
  <c r="C1029" i="2" s="1"/>
  <c r="C1030" i="2" s="1"/>
  <c r="C1031" i="2" s="1"/>
  <c r="C1032" i="2" s="1"/>
  <c r="C1033" i="2" s="1"/>
  <c r="C1034" i="2" s="1"/>
  <c r="C1035" i="2" s="1"/>
  <c r="C1036" i="2" s="1"/>
  <c r="C1037" i="2" s="1"/>
  <c r="C1038" i="2" s="1"/>
  <c r="C1039" i="2" s="1"/>
  <c r="C1040" i="2" s="1"/>
  <c r="C1041" i="2" s="1"/>
  <c r="C1042" i="2" s="1"/>
  <c r="C1043" i="2" s="1"/>
  <c r="C1044" i="2" s="1"/>
  <c r="C1045" i="2" s="1"/>
  <c r="C1046" i="2" s="1"/>
  <c r="C1047" i="2" s="1"/>
  <c r="C1048" i="2" s="1"/>
  <c r="C1049" i="2" s="1"/>
  <c r="C1050" i="2" s="1"/>
  <c r="C1051" i="2" s="1"/>
  <c r="C1052" i="2" s="1"/>
  <c r="C1053" i="2" s="1"/>
  <c r="C1054" i="2" s="1"/>
  <c r="C1055" i="2" s="1"/>
  <c r="C1056" i="2" s="1"/>
  <c r="C1057" i="2" s="1"/>
  <c r="C1058" i="2" s="1"/>
  <c r="C1059" i="2" s="1"/>
  <c r="C1060" i="2" s="1"/>
  <c r="C1061" i="2" s="1"/>
  <c r="C1062" i="2" s="1"/>
  <c r="C1063" i="2" s="1"/>
  <c r="C1064" i="2" s="1"/>
  <c r="C1065" i="2" s="1"/>
  <c r="C1066" i="2" s="1"/>
  <c r="C1067" i="2" s="1"/>
  <c r="C1068" i="2" s="1"/>
  <c r="C1069" i="2" s="1"/>
  <c r="C1070" i="2" s="1"/>
  <c r="C1071" i="2" s="1"/>
  <c r="C1072" i="2" s="1"/>
  <c r="C1073" i="2" s="1"/>
  <c r="C1074" i="2" s="1"/>
  <c r="C1075" i="2" s="1"/>
  <c r="C1076" i="2" s="1"/>
  <c r="C1077" i="2" s="1"/>
  <c r="C1078" i="2" s="1"/>
  <c r="C1079" i="2" s="1"/>
  <c r="C1080" i="2" s="1"/>
  <c r="C1081" i="2" s="1"/>
  <c r="C1082" i="2" s="1"/>
  <c r="C1083" i="2" s="1"/>
  <c r="C1084" i="2" s="1"/>
  <c r="C1085" i="2" s="1"/>
  <c r="C1086" i="2" s="1"/>
  <c r="C1087" i="2" s="1"/>
  <c r="C1088" i="2" s="1"/>
  <c r="C1089" i="2" s="1"/>
  <c r="C1090" i="2" s="1"/>
  <c r="C1091" i="2" s="1"/>
  <c r="C1092" i="2" s="1"/>
  <c r="C1093" i="2" s="1"/>
  <c r="C1094" i="2" s="1"/>
  <c r="C1095" i="2" s="1"/>
  <c r="C1096" i="2" s="1"/>
  <c r="C1097" i="2" s="1"/>
  <c r="C1098" i="2" s="1"/>
  <c r="C1099" i="2" s="1"/>
  <c r="C1100" i="2" s="1"/>
  <c r="C1101" i="2" s="1"/>
  <c r="C1102" i="2" s="1"/>
  <c r="C1103" i="2" s="1"/>
  <c r="C1104" i="2" s="1"/>
  <c r="C1105" i="2" s="1"/>
  <c r="C1106" i="2" s="1"/>
  <c r="C1107" i="2" s="1"/>
  <c r="C1108" i="2" s="1"/>
  <c r="C1109" i="2" s="1"/>
  <c r="C1110" i="2" s="1"/>
  <c r="C1111" i="2" s="1"/>
  <c r="C1112" i="2" s="1"/>
  <c r="C1113" i="2" s="1"/>
  <c r="C1114" i="2" s="1"/>
  <c r="C1115" i="2" s="1"/>
  <c r="C1116" i="2" s="1"/>
  <c r="C1117" i="2" s="1"/>
  <c r="C1118" i="2" s="1"/>
  <c r="C1119" i="2" s="1"/>
  <c r="C1120" i="2" s="1"/>
  <c r="C1121" i="2" s="1"/>
  <c r="C1122" i="2" s="1"/>
  <c r="C1123" i="2" s="1"/>
  <c r="C1124" i="2" s="1"/>
  <c r="C1125" i="2" s="1"/>
  <c r="C1126" i="2" s="1"/>
  <c r="C1127" i="2" s="1"/>
  <c r="C1128" i="2" s="1"/>
  <c r="C1129" i="2" s="1"/>
  <c r="C1130" i="2" s="1"/>
  <c r="C1131" i="2" s="1"/>
  <c r="C1132" i="2" s="1"/>
  <c r="C1133" i="2" s="1"/>
  <c r="C1134" i="2" s="1"/>
  <c r="C1135" i="2" s="1"/>
  <c r="C1136" i="2" s="1"/>
  <c r="C1137" i="2" s="1"/>
  <c r="C1138" i="2" s="1"/>
  <c r="C1139" i="2" s="1"/>
  <c r="C1140" i="2" s="1"/>
  <c r="C1141" i="2" s="1"/>
  <c r="C1142" i="2" s="1"/>
  <c r="C1143" i="2" s="1"/>
  <c r="C1144" i="2" s="1"/>
  <c r="C1145" i="2" s="1"/>
  <c r="C1146" i="2" s="1"/>
  <c r="C1147" i="2" s="1"/>
  <c r="C1148" i="2" s="1"/>
  <c r="C1149" i="2" s="1"/>
  <c r="C1150" i="2" s="1"/>
  <c r="C1151" i="2" s="1"/>
  <c r="C1152" i="2" s="1"/>
  <c r="C1153" i="2" s="1"/>
  <c r="C1154" i="2" s="1"/>
  <c r="C1155" i="2" s="1"/>
  <c r="C1156" i="2" s="1"/>
  <c r="C1157" i="2" s="1"/>
  <c r="C1158" i="2" s="1"/>
  <c r="C1159" i="2" s="1"/>
  <c r="C1160" i="2" s="1"/>
  <c r="C1161" i="2" s="1"/>
  <c r="C1162" i="2" s="1"/>
  <c r="C1163" i="2" s="1"/>
  <c r="C1164" i="2" s="1"/>
  <c r="C1165" i="2" s="1"/>
  <c r="C1166" i="2" s="1"/>
  <c r="C1167" i="2" s="1"/>
  <c r="C1168" i="2" s="1"/>
  <c r="C1169" i="2" s="1"/>
  <c r="C1170" i="2" s="1"/>
  <c r="C1171" i="2" s="1"/>
  <c r="C1172" i="2" s="1"/>
  <c r="C1173" i="2" s="1"/>
  <c r="C1174" i="2" s="1"/>
  <c r="C1175" i="2" s="1"/>
  <c r="C1176" i="2" s="1"/>
  <c r="C1177" i="2" s="1"/>
  <c r="C1178" i="2" s="1"/>
  <c r="C1179" i="2" s="1"/>
  <c r="C1180" i="2" s="1"/>
  <c r="C1181" i="2" s="1"/>
  <c r="C1182" i="2" s="1"/>
  <c r="C1183" i="2" s="1"/>
  <c r="C1184" i="2" s="1"/>
  <c r="C1185" i="2" s="1"/>
  <c r="C1186" i="2" s="1"/>
  <c r="C1187" i="2" s="1"/>
  <c r="C1188" i="2" s="1"/>
  <c r="C1189" i="2" s="1"/>
  <c r="C1190" i="2" s="1"/>
  <c r="C1191" i="2" s="1"/>
  <c r="C1192" i="2" s="1"/>
  <c r="C1193" i="2" s="1"/>
  <c r="C1194" i="2" s="1"/>
  <c r="C1195" i="2" s="1"/>
  <c r="C1196" i="2" s="1"/>
  <c r="C1197" i="2" s="1"/>
  <c r="C1198" i="2" s="1"/>
  <c r="C1199" i="2" s="1"/>
  <c r="C1200" i="2" s="1"/>
  <c r="C1201" i="2" s="1"/>
  <c r="C1202" i="2" s="1"/>
  <c r="C1203" i="2" s="1"/>
  <c r="C1204" i="2" s="1"/>
  <c r="C1205" i="2" s="1"/>
  <c r="C1206" i="2" s="1"/>
  <c r="C1207" i="2" s="1"/>
  <c r="C1208" i="2" s="1"/>
  <c r="C1209" i="2" s="1"/>
  <c r="C1210" i="2" s="1"/>
  <c r="C1211" i="2" s="1"/>
  <c r="C1212" i="2" s="1"/>
  <c r="C1213" i="2" s="1"/>
  <c r="C1214" i="2" s="1"/>
  <c r="C1215" i="2" s="1"/>
  <c r="C1216" i="2" s="1"/>
  <c r="C1217" i="2" s="1"/>
  <c r="C1218" i="2" s="1"/>
  <c r="C1219" i="2" s="1"/>
  <c r="C1220" i="2" s="1"/>
  <c r="C1221" i="2" s="1"/>
  <c r="C1222" i="2" s="1"/>
  <c r="C1223" i="2" s="1"/>
  <c r="C1224" i="2" s="1"/>
  <c r="C1225" i="2" s="1"/>
  <c r="C1226" i="2" s="1"/>
  <c r="C1227" i="2" s="1"/>
  <c r="C1228" i="2" s="1"/>
  <c r="C1229" i="2" s="1"/>
  <c r="C1230" i="2" s="1"/>
  <c r="C1231" i="2" s="1"/>
  <c r="C1232" i="2" s="1"/>
  <c r="C1233" i="2" s="1"/>
  <c r="C1234" i="2" s="1"/>
  <c r="C1235" i="2" s="1"/>
  <c r="C1236" i="2" s="1"/>
  <c r="C1237" i="2" s="1"/>
  <c r="C1238" i="2" s="1"/>
  <c r="C1239" i="2" s="1"/>
  <c r="C1240" i="2" s="1"/>
  <c r="C1241" i="2" s="1"/>
  <c r="C1242" i="2" s="1"/>
  <c r="C1243" i="2" s="1"/>
  <c r="C1244" i="2" s="1"/>
  <c r="C1245" i="2" s="1"/>
  <c r="C1246" i="2" s="1"/>
  <c r="C1247" i="2" s="1"/>
  <c r="C1248" i="2" s="1"/>
  <c r="C1249" i="2" s="1"/>
  <c r="C1250" i="2" s="1"/>
  <c r="C1251" i="2" s="1"/>
  <c r="C1252" i="2" s="1"/>
  <c r="C1253" i="2" s="1"/>
  <c r="C1254" i="2" s="1"/>
  <c r="C1255" i="2" s="1"/>
  <c r="C1256" i="2" s="1"/>
  <c r="C1257" i="2" s="1"/>
  <c r="C1258" i="2" s="1"/>
  <c r="C1259" i="2" s="1"/>
  <c r="C1260" i="2" s="1"/>
  <c r="C1261" i="2" s="1"/>
  <c r="C1262" i="2" s="1"/>
  <c r="C1263" i="2" s="1"/>
  <c r="C1264" i="2" s="1"/>
  <c r="C1265" i="2" s="1"/>
  <c r="C1266" i="2" s="1"/>
  <c r="C1267" i="2" s="1"/>
  <c r="C1268" i="2" s="1"/>
  <c r="C1269" i="2" s="1"/>
  <c r="C1270" i="2" s="1"/>
  <c r="C1271" i="2" s="1"/>
  <c r="C1272" i="2" s="1"/>
  <c r="C1273" i="2" s="1"/>
  <c r="C1274" i="2" s="1"/>
  <c r="C1275" i="2" s="1"/>
  <c r="C1276" i="2" s="1"/>
  <c r="C1277" i="2" s="1"/>
  <c r="C1278" i="2" s="1"/>
  <c r="C1279" i="2" s="1"/>
  <c r="C1280" i="2" s="1"/>
  <c r="C1281" i="2" s="1"/>
  <c r="C1282" i="2" s="1"/>
  <c r="C1283" i="2" s="1"/>
  <c r="C1284" i="2" s="1"/>
  <c r="C1285" i="2" s="1"/>
  <c r="C1286" i="2" s="1"/>
  <c r="C1287" i="2" s="1"/>
  <c r="C1288" i="2" s="1"/>
  <c r="C1289" i="2" s="1"/>
  <c r="C1290" i="2" s="1"/>
  <c r="C1291" i="2" s="1"/>
  <c r="C1292" i="2" s="1"/>
  <c r="C1293" i="2" s="1"/>
  <c r="C1294" i="2" s="1"/>
  <c r="C1295" i="2" s="1"/>
  <c r="C1296" i="2" s="1"/>
  <c r="C1297" i="2" s="1"/>
  <c r="C1298" i="2" s="1"/>
  <c r="C1299" i="2" s="1"/>
  <c r="C1300" i="2" s="1"/>
  <c r="C1301" i="2" s="1"/>
  <c r="C1302" i="2" s="1"/>
  <c r="C1303" i="2" s="1"/>
  <c r="C1304" i="2" s="1"/>
  <c r="C1305" i="2" s="1"/>
  <c r="C1306" i="2" s="1"/>
  <c r="C1307" i="2" s="1"/>
  <c r="C1308" i="2" s="1"/>
  <c r="C1309" i="2" s="1"/>
  <c r="C1310" i="2" s="1"/>
  <c r="C1311" i="2" s="1"/>
  <c r="C1312" i="2" s="1"/>
  <c r="C1313" i="2" s="1"/>
  <c r="C1314" i="2" s="1"/>
  <c r="C1315" i="2" s="1"/>
  <c r="C1316" i="2" s="1"/>
  <c r="C1317" i="2" s="1"/>
  <c r="C1318" i="2" s="1"/>
  <c r="C1319" i="2" s="1"/>
  <c r="C1320" i="2" s="1"/>
  <c r="C1321" i="2" s="1"/>
  <c r="C1322" i="2" s="1"/>
  <c r="C1323" i="2" s="1"/>
  <c r="C1324" i="2" s="1"/>
  <c r="C1325" i="2" s="1"/>
  <c r="C1326" i="2" s="1"/>
  <c r="C1327" i="2" s="1"/>
  <c r="C1328" i="2" s="1"/>
  <c r="C1329" i="2" s="1"/>
  <c r="C1330" i="2" s="1"/>
  <c r="C1331" i="2" s="1"/>
  <c r="C1332" i="2" s="1"/>
  <c r="C1333" i="2" s="1"/>
  <c r="C1334" i="2" s="1"/>
  <c r="C1335" i="2" s="1"/>
  <c r="C1336" i="2" s="1"/>
  <c r="C1337" i="2" s="1"/>
  <c r="C1338" i="2" s="1"/>
  <c r="C1339" i="2" s="1"/>
  <c r="C1340" i="2" s="1"/>
  <c r="C1341" i="2" s="1"/>
  <c r="C1342" i="2" s="1"/>
  <c r="C1343" i="2" s="1"/>
  <c r="C1344" i="2" s="1"/>
  <c r="C1345" i="2" s="1"/>
  <c r="C1346" i="2" s="1"/>
  <c r="C1347" i="2" s="1"/>
  <c r="C1348" i="2" s="1"/>
  <c r="C1349" i="2" s="1"/>
  <c r="C1350" i="2" s="1"/>
  <c r="C1351" i="2" s="1"/>
  <c r="C1352" i="2" s="1"/>
  <c r="C1353" i="2" s="1"/>
  <c r="C1354" i="2" s="1"/>
  <c r="C1355" i="2" s="1"/>
  <c r="C1356" i="2" s="1"/>
  <c r="C1357" i="2" s="1"/>
  <c r="C1358" i="2" s="1"/>
  <c r="C1359" i="2" s="1"/>
  <c r="C1360" i="2" s="1"/>
  <c r="C1361" i="2" s="1"/>
  <c r="C1362" i="2" s="1"/>
  <c r="C1363" i="2" s="1"/>
  <c r="C1364" i="2" s="1"/>
  <c r="C1365" i="2" s="1"/>
  <c r="C1366" i="2" s="1"/>
  <c r="C1367" i="2" s="1"/>
  <c r="C1368" i="2" s="1"/>
  <c r="C1369" i="2" s="1"/>
  <c r="C1370" i="2" s="1"/>
  <c r="C1371" i="2" s="1"/>
  <c r="C1372" i="2" s="1"/>
  <c r="C1373" i="2" s="1"/>
  <c r="C1374" i="2" s="1"/>
  <c r="C1375" i="2" s="1"/>
  <c r="C1376" i="2" s="1"/>
  <c r="C1377" i="2" s="1"/>
  <c r="C1378" i="2" s="1"/>
  <c r="C1379" i="2" s="1"/>
  <c r="C1380" i="2" s="1"/>
  <c r="C1381" i="2" s="1"/>
  <c r="C1382" i="2" s="1"/>
  <c r="C1383" i="2" s="1"/>
  <c r="C1384" i="2" s="1"/>
  <c r="C1385" i="2" s="1"/>
  <c r="C1386" i="2" s="1"/>
  <c r="C1387" i="2" s="1"/>
  <c r="C1388" i="2" s="1"/>
  <c r="C1389" i="2" s="1"/>
  <c r="C1390" i="2" s="1"/>
  <c r="C1391" i="2" s="1"/>
  <c r="C1392" i="2" s="1"/>
  <c r="C1393" i="2" s="1"/>
  <c r="C1394" i="2" s="1"/>
  <c r="C1395" i="2" s="1"/>
  <c r="C1396" i="2" s="1"/>
  <c r="C1397" i="2" s="1"/>
  <c r="C1398" i="2" s="1"/>
  <c r="C1399" i="2" s="1"/>
  <c r="C1400" i="2" s="1"/>
  <c r="C1401" i="2" s="1"/>
  <c r="C1402" i="2" s="1"/>
  <c r="C1403" i="2" s="1"/>
  <c r="C1404" i="2" s="1"/>
  <c r="C1405" i="2" s="1"/>
  <c r="C1406" i="2" s="1"/>
  <c r="C1407" i="2" s="1"/>
  <c r="C1408" i="2" s="1"/>
  <c r="C1409" i="2" s="1"/>
  <c r="C1410" i="2" s="1"/>
  <c r="C1411" i="2" s="1"/>
  <c r="C1412" i="2" s="1"/>
  <c r="C1413" i="2" s="1"/>
  <c r="C1414" i="2" s="1"/>
  <c r="C1415" i="2" s="1"/>
  <c r="C1416" i="2" s="1"/>
  <c r="C1417" i="2" s="1"/>
  <c r="C1418" i="2" s="1"/>
  <c r="C1419" i="2" s="1"/>
  <c r="C1420" i="2" s="1"/>
  <c r="C1421" i="2" s="1"/>
  <c r="C1422" i="2" s="1"/>
  <c r="C1423" i="2" s="1"/>
  <c r="C1424" i="2" s="1"/>
  <c r="C1425" i="2" s="1"/>
  <c r="C1426" i="2" s="1"/>
  <c r="C1427" i="2" s="1"/>
  <c r="C1428" i="2" s="1"/>
  <c r="C1429" i="2" s="1"/>
  <c r="C1430" i="2" s="1"/>
  <c r="C1431" i="2" s="1"/>
  <c r="C1432" i="2" s="1"/>
  <c r="C1433" i="2" s="1"/>
  <c r="C1434" i="2" s="1"/>
  <c r="C1435" i="2" s="1"/>
  <c r="C1436" i="2" s="1"/>
  <c r="C1437" i="2" s="1"/>
  <c r="C1438" i="2" s="1"/>
  <c r="C1439" i="2" s="1"/>
  <c r="C1440" i="2" s="1"/>
  <c r="C1441" i="2" s="1"/>
  <c r="C1442" i="2" s="1"/>
  <c r="C1443" i="2" s="1"/>
  <c r="C1444" i="2" s="1"/>
  <c r="C1445" i="2" s="1"/>
  <c r="C1446" i="2" s="1"/>
  <c r="C1447" i="2" s="1"/>
  <c r="C1448" i="2" s="1"/>
  <c r="C1449" i="2" s="1"/>
  <c r="C1450" i="2" s="1"/>
  <c r="C1451" i="2" s="1"/>
  <c r="C1452" i="2" s="1"/>
  <c r="C1453" i="2" s="1"/>
  <c r="C1454" i="2" s="1"/>
  <c r="C1455" i="2" s="1"/>
  <c r="C1456" i="2" s="1"/>
  <c r="C1457" i="2" s="1"/>
  <c r="C1458" i="2" s="1"/>
  <c r="C1459" i="2" s="1"/>
  <c r="C1460" i="2" s="1"/>
  <c r="C1461" i="2" s="1"/>
  <c r="C1462" i="2" s="1"/>
  <c r="C1463" i="2" s="1"/>
  <c r="C1464" i="2" s="1"/>
  <c r="C1465" i="2" s="1"/>
  <c r="C1466" i="2" s="1"/>
  <c r="C1467" i="2" s="1"/>
  <c r="C1468" i="2" s="1"/>
  <c r="C1469" i="2" s="1"/>
  <c r="C1470" i="2" s="1"/>
  <c r="C1471" i="2" s="1"/>
  <c r="C1472" i="2" s="1"/>
  <c r="C1473" i="2" s="1"/>
  <c r="C1474" i="2" s="1"/>
  <c r="C1475" i="2" s="1"/>
  <c r="C1476" i="2" s="1"/>
  <c r="C1477" i="2" s="1"/>
  <c r="C1478" i="2" s="1"/>
  <c r="C1479" i="2" s="1"/>
  <c r="C1480" i="2" s="1"/>
  <c r="C1481" i="2" s="1"/>
  <c r="C1482" i="2" s="1"/>
  <c r="C1483" i="2" s="1"/>
  <c r="C1484" i="2" s="1"/>
  <c r="C1485" i="2" s="1"/>
  <c r="C1486" i="2" s="1"/>
  <c r="C1487" i="2" s="1"/>
  <c r="C1488" i="2" s="1"/>
  <c r="C1489" i="2" s="1"/>
  <c r="C1490" i="2" s="1"/>
  <c r="C1491" i="2" s="1"/>
  <c r="C1492" i="2" s="1"/>
  <c r="C1493" i="2" s="1"/>
  <c r="C1494" i="2" s="1"/>
  <c r="C1495" i="2" s="1"/>
  <c r="C1496" i="2" s="1"/>
  <c r="C1497" i="2" s="1"/>
  <c r="C1498" i="2" s="1"/>
  <c r="C1499" i="2" s="1"/>
  <c r="C1500" i="2" s="1"/>
  <c r="C1501" i="2" s="1"/>
  <c r="C1502" i="2" s="1"/>
  <c r="C1503" i="2" s="1"/>
  <c r="C1504" i="2" s="1"/>
  <c r="C1505" i="2" s="1"/>
  <c r="C1506" i="2" s="1"/>
  <c r="C1507" i="2" s="1"/>
  <c r="C1508" i="2" s="1"/>
  <c r="C1509" i="2" s="1"/>
  <c r="C1510" i="2" s="1"/>
  <c r="C1511" i="2" s="1"/>
  <c r="C1512" i="2" s="1"/>
  <c r="C1513" i="2" s="1"/>
  <c r="C1514" i="2" s="1"/>
  <c r="C1515" i="2" s="1"/>
  <c r="C1516" i="2" s="1"/>
  <c r="C1517" i="2" s="1"/>
  <c r="C1518" i="2" s="1"/>
  <c r="C1519" i="2" s="1"/>
  <c r="C1520" i="2" s="1"/>
  <c r="C1521" i="2" s="1"/>
  <c r="C1522" i="2" s="1"/>
  <c r="C1523" i="2" s="1"/>
  <c r="C1524" i="2" s="1"/>
  <c r="C1525" i="2" s="1"/>
  <c r="C1526" i="2" s="1"/>
  <c r="C1527" i="2" s="1"/>
  <c r="C1528" i="2" s="1"/>
  <c r="C1529" i="2" s="1"/>
  <c r="C1530" i="2" s="1"/>
  <c r="C1531" i="2" s="1"/>
  <c r="C1532" i="2" s="1"/>
  <c r="C1533" i="2" s="1"/>
  <c r="C1534" i="2" s="1"/>
  <c r="C1535" i="2" s="1"/>
  <c r="C1536" i="2" s="1"/>
  <c r="C1537" i="2" s="1"/>
  <c r="C1538" i="2" s="1"/>
  <c r="C1539" i="2" s="1"/>
  <c r="C1540" i="2" s="1"/>
  <c r="C1541" i="2" s="1"/>
  <c r="C1542" i="2" s="1"/>
  <c r="C1543" i="2" s="1"/>
  <c r="C1544" i="2" s="1"/>
  <c r="C1545" i="2" s="1"/>
  <c r="C1546" i="2" s="1"/>
  <c r="C1547" i="2" s="1"/>
  <c r="C1548" i="2" s="1"/>
  <c r="C1549" i="2" s="1"/>
  <c r="C1550" i="2" s="1"/>
  <c r="C1551" i="2" s="1"/>
  <c r="C1552" i="2" s="1"/>
  <c r="C1553" i="2" s="1"/>
  <c r="C1554" i="2" s="1"/>
  <c r="C1555" i="2" s="1"/>
  <c r="C1556" i="2" s="1"/>
  <c r="C1557" i="2" s="1"/>
  <c r="C1558" i="2" s="1"/>
  <c r="C1559" i="2" s="1"/>
  <c r="C1560" i="2" s="1"/>
  <c r="C1561" i="2" s="1"/>
  <c r="C1562" i="2" s="1"/>
  <c r="C1563" i="2" s="1"/>
  <c r="C1564" i="2" s="1"/>
  <c r="C1565" i="2" s="1"/>
  <c r="C1566" i="2" s="1"/>
  <c r="C1567" i="2" s="1"/>
  <c r="C1568" i="2" s="1"/>
  <c r="C1569" i="2" s="1"/>
  <c r="C1570" i="2" s="1"/>
  <c r="C1571" i="2" s="1"/>
  <c r="C1572" i="2" s="1"/>
  <c r="C1573" i="2" s="1"/>
  <c r="C1574" i="2" s="1"/>
  <c r="C1575" i="2" s="1"/>
  <c r="C1576" i="2" s="1"/>
  <c r="C1577" i="2" s="1"/>
  <c r="C1578" i="2" s="1"/>
  <c r="C1579" i="2" s="1"/>
  <c r="C1580" i="2" s="1"/>
  <c r="C1581" i="2" s="1"/>
  <c r="C1582" i="2" s="1"/>
  <c r="C1583" i="2" s="1"/>
  <c r="C1584" i="2" s="1"/>
  <c r="C1585" i="2" s="1"/>
  <c r="C1586" i="2" s="1"/>
  <c r="C1587" i="2" s="1"/>
  <c r="C1588" i="2" s="1"/>
  <c r="C1589" i="2" s="1"/>
  <c r="C1590" i="2" s="1"/>
  <c r="C1591" i="2" s="1"/>
  <c r="C1592" i="2" s="1"/>
  <c r="C1593" i="2" s="1"/>
  <c r="C1594" i="2" s="1"/>
  <c r="C1595" i="2" s="1"/>
  <c r="C1596" i="2" s="1"/>
  <c r="C1597" i="2" s="1"/>
  <c r="C1598" i="2" s="1"/>
  <c r="C1599" i="2" s="1"/>
  <c r="C1600" i="2" s="1"/>
  <c r="C1601" i="2" s="1"/>
  <c r="C1602" i="2" s="1"/>
  <c r="C1603" i="2" s="1"/>
  <c r="C1604" i="2" s="1"/>
  <c r="C1605" i="2" s="1"/>
  <c r="C1606" i="2" s="1"/>
  <c r="C1607" i="2" s="1"/>
  <c r="C1608" i="2" s="1"/>
  <c r="C1609" i="2" s="1"/>
  <c r="C1610" i="2" s="1"/>
  <c r="C1611" i="2" s="1"/>
  <c r="C1612" i="2" s="1"/>
  <c r="C1613" i="2" s="1"/>
  <c r="C1614" i="2" s="1"/>
  <c r="C1615" i="2" s="1"/>
  <c r="C1616" i="2" s="1"/>
  <c r="C1617" i="2" s="1"/>
  <c r="C1618" i="2" s="1"/>
  <c r="C1619" i="2" s="1"/>
  <c r="C1620" i="2" s="1"/>
  <c r="C1621" i="2" s="1"/>
  <c r="C1622" i="2" s="1"/>
  <c r="C1623" i="2" s="1"/>
  <c r="C1624" i="2" s="1"/>
  <c r="C1625" i="2" s="1"/>
  <c r="C1626" i="2" s="1"/>
  <c r="C1627" i="2" s="1"/>
  <c r="C1628" i="2" s="1"/>
  <c r="C1629" i="2" s="1"/>
  <c r="C1630" i="2" s="1"/>
  <c r="C1631" i="2" s="1"/>
  <c r="C1632" i="2" s="1"/>
  <c r="C1633" i="2" s="1"/>
  <c r="C1634" i="2" s="1"/>
  <c r="C1635" i="2" s="1"/>
  <c r="C1636" i="2" s="1"/>
  <c r="C1637" i="2" s="1"/>
  <c r="C1638" i="2" s="1"/>
  <c r="C1639" i="2" s="1"/>
  <c r="C1640" i="2" s="1"/>
  <c r="C1641" i="2" s="1"/>
  <c r="C1642" i="2" s="1"/>
  <c r="C1643" i="2" s="1"/>
  <c r="C1644" i="2" s="1"/>
  <c r="C1645" i="2" s="1"/>
  <c r="C1646" i="2" s="1"/>
  <c r="C1647" i="2" s="1"/>
  <c r="C1648" i="2" s="1"/>
  <c r="C1649" i="2" s="1"/>
  <c r="C1650" i="2" s="1"/>
  <c r="C1651" i="2" s="1"/>
  <c r="C1652" i="2" s="1"/>
  <c r="C1653" i="2" s="1"/>
  <c r="C1654" i="2" s="1"/>
  <c r="C1655" i="2" s="1"/>
  <c r="C1656" i="2" s="1"/>
  <c r="C1657" i="2" s="1"/>
  <c r="C1658" i="2" s="1"/>
  <c r="C1659" i="2" s="1"/>
  <c r="C1660" i="2" s="1"/>
  <c r="C1661" i="2" s="1"/>
  <c r="C1662" i="2" s="1"/>
  <c r="C1663" i="2" s="1"/>
  <c r="C1664" i="2" s="1"/>
  <c r="C1665" i="2" s="1"/>
  <c r="C1666" i="2" s="1"/>
  <c r="C1667" i="2" s="1"/>
  <c r="C1668" i="2" s="1"/>
  <c r="C1669" i="2" s="1"/>
  <c r="C1670" i="2" s="1"/>
  <c r="C1671" i="2" s="1"/>
  <c r="C1672" i="2" s="1"/>
  <c r="C1673" i="2" s="1"/>
  <c r="C1674" i="2" s="1"/>
  <c r="C1675" i="2" s="1"/>
  <c r="C1676" i="2" s="1"/>
  <c r="C1677" i="2" s="1"/>
  <c r="C1678" i="2" s="1"/>
  <c r="C1679" i="2" s="1"/>
  <c r="C1680" i="2" s="1"/>
  <c r="C1681" i="2" s="1"/>
  <c r="C1682" i="2" s="1"/>
  <c r="C1683" i="2" s="1"/>
  <c r="C1684" i="2" s="1"/>
  <c r="C1685" i="2" s="1"/>
  <c r="C1686" i="2" s="1"/>
  <c r="C1687" i="2" s="1"/>
  <c r="C1688" i="2" s="1"/>
  <c r="C1689" i="2" s="1"/>
  <c r="C1690" i="2" s="1"/>
  <c r="C1691" i="2" s="1"/>
  <c r="C1692" i="2" s="1"/>
  <c r="C1693" i="2" s="1"/>
  <c r="C1694" i="2" s="1"/>
  <c r="C1695" i="2" s="1"/>
  <c r="C1696" i="2" s="1"/>
  <c r="C1697" i="2" s="1"/>
  <c r="C1698" i="2" s="1"/>
  <c r="C1699" i="2" s="1"/>
  <c r="C1700" i="2" s="1"/>
  <c r="C1701" i="2" s="1"/>
  <c r="C1702" i="2" s="1"/>
  <c r="C1703" i="2" s="1"/>
  <c r="C1704" i="2" s="1"/>
  <c r="C1705" i="2" s="1"/>
  <c r="C1706" i="2" s="1"/>
  <c r="C1707" i="2" s="1"/>
  <c r="C1708" i="2" s="1"/>
  <c r="C1709" i="2" s="1"/>
  <c r="C1710" i="2" s="1"/>
  <c r="C1711" i="2" s="1"/>
  <c r="C1712" i="2" s="1"/>
  <c r="C1713" i="2" s="1"/>
  <c r="C1714" i="2" s="1"/>
  <c r="C1715" i="2" s="1"/>
  <c r="C1716" i="2" s="1"/>
  <c r="C1717" i="2" s="1"/>
  <c r="C1718" i="2" s="1"/>
  <c r="C1719" i="2" s="1"/>
  <c r="C1720" i="2" s="1"/>
  <c r="C1721" i="2" s="1"/>
  <c r="C1722" i="2" s="1"/>
  <c r="C1723" i="2" s="1"/>
  <c r="C1724" i="2" s="1"/>
  <c r="C1725" i="2" s="1"/>
  <c r="C1726" i="2" s="1"/>
  <c r="C1727" i="2" s="1"/>
  <c r="C1728" i="2" s="1"/>
  <c r="C1729" i="2" s="1"/>
  <c r="C1730" i="2" s="1"/>
  <c r="C1731" i="2" s="1"/>
  <c r="C1732" i="2" s="1"/>
  <c r="C1733" i="2" s="1"/>
  <c r="C1734" i="2" s="1"/>
  <c r="C1735" i="2" s="1"/>
  <c r="C1736" i="2" s="1"/>
  <c r="C1737" i="2" s="1"/>
  <c r="C1738" i="2" s="1"/>
  <c r="C1739" i="2" s="1"/>
  <c r="C1740" i="2" s="1"/>
  <c r="C1741" i="2" s="1"/>
  <c r="C1742" i="2" s="1"/>
  <c r="C1743" i="2" s="1"/>
  <c r="C1744" i="2" s="1"/>
  <c r="C1745" i="2" s="1"/>
  <c r="C1746" i="2" s="1"/>
  <c r="C1747" i="2" s="1"/>
  <c r="C1748" i="2" s="1"/>
  <c r="C1749" i="2" s="1"/>
  <c r="C1750" i="2" s="1"/>
  <c r="C1751" i="2" s="1"/>
  <c r="C1752" i="2" s="1"/>
  <c r="C1753" i="2" s="1"/>
  <c r="C1754" i="2" s="1"/>
  <c r="C1755" i="2" s="1"/>
  <c r="C1756" i="2" s="1"/>
  <c r="C1757" i="2" s="1"/>
  <c r="C1758" i="2" s="1"/>
  <c r="C1759" i="2" s="1"/>
  <c r="C1760" i="2" s="1"/>
  <c r="C1761" i="2" s="1"/>
  <c r="C1762" i="2" s="1"/>
  <c r="C1763" i="2" s="1"/>
  <c r="C1764" i="2" s="1"/>
  <c r="C1765" i="2" s="1"/>
  <c r="C1766" i="2" s="1"/>
  <c r="C1767" i="2" s="1"/>
  <c r="C1768" i="2" s="1"/>
  <c r="C1769" i="2" s="1"/>
  <c r="C1770" i="2" s="1"/>
  <c r="C1771" i="2" s="1"/>
  <c r="C1772" i="2" s="1"/>
  <c r="C1773" i="2" s="1"/>
  <c r="C1774" i="2" s="1"/>
  <c r="C1775" i="2" s="1"/>
  <c r="C1776" i="2" s="1"/>
  <c r="C1777" i="2" s="1"/>
  <c r="C1778" i="2" s="1"/>
  <c r="C1779" i="2" s="1"/>
  <c r="C1780" i="2" s="1"/>
  <c r="C1781" i="2" s="1"/>
  <c r="C1782" i="2" s="1"/>
  <c r="C1783" i="2" s="1"/>
  <c r="C1784" i="2" s="1"/>
  <c r="C1785" i="2" s="1"/>
  <c r="C1786" i="2" s="1"/>
  <c r="C1787" i="2" s="1"/>
  <c r="C1788" i="2" s="1"/>
  <c r="C1789" i="2" s="1"/>
  <c r="C1790" i="2" s="1"/>
  <c r="C1791" i="2" s="1"/>
  <c r="C1792" i="2" s="1"/>
  <c r="C1793" i="2" s="1"/>
  <c r="C1794" i="2" s="1"/>
  <c r="C1795" i="2" s="1"/>
  <c r="C1796" i="2" s="1"/>
  <c r="C1797" i="2" s="1"/>
  <c r="C1798" i="2" s="1"/>
  <c r="C1799" i="2" s="1"/>
  <c r="C1800" i="2" s="1"/>
  <c r="C1801" i="2" s="1"/>
  <c r="C1802" i="2" s="1"/>
  <c r="C1803" i="2" s="1"/>
  <c r="C1804" i="2" s="1"/>
  <c r="C1805" i="2" s="1"/>
  <c r="C1806" i="2" s="1"/>
  <c r="C1807" i="2" s="1"/>
  <c r="C1808" i="2" s="1"/>
  <c r="C1809" i="2" s="1"/>
  <c r="C1810" i="2" s="1"/>
  <c r="C1811" i="2" s="1"/>
  <c r="C1812" i="2" s="1"/>
  <c r="C1813" i="2" s="1"/>
  <c r="C1814" i="2" s="1"/>
  <c r="C1815" i="2" s="1"/>
  <c r="C1816" i="2" s="1"/>
  <c r="C1817" i="2" s="1"/>
  <c r="C1818" i="2" s="1"/>
  <c r="C1819" i="2" s="1"/>
  <c r="C1820" i="2" s="1"/>
  <c r="C1821" i="2" s="1"/>
  <c r="C1822" i="2" s="1"/>
  <c r="C1823" i="2" s="1"/>
  <c r="C1824" i="2" s="1"/>
  <c r="C1825" i="2" s="1"/>
  <c r="C1826" i="2" s="1"/>
  <c r="C1827" i="2" s="1"/>
  <c r="C1828" i="2" s="1"/>
  <c r="C1829" i="2" s="1"/>
  <c r="C1830" i="2" s="1"/>
  <c r="C1831" i="2" s="1"/>
  <c r="C1832" i="2" s="1"/>
  <c r="C1833" i="2" s="1"/>
  <c r="C1834" i="2" s="1"/>
  <c r="C1835" i="2" s="1"/>
  <c r="C1836" i="2" s="1"/>
  <c r="C1837" i="2" s="1"/>
  <c r="C1838" i="2" s="1"/>
  <c r="C1839" i="2" s="1"/>
  <c r="C1840" i="2" s="1"/>
  <c r="C1841" i="2" s="1"/>
  <c r="C1842" i="2" s="1"/>
  <c r="C1843" i="2" s="1"/>
  <c r="C1844" i="2" s="1"/>
  <c r="C1845" i="2" s="1"/>
  <c r="C1846" i="2" s="1"/>
  <c r="C1847" i="2" s="1"/>
  <c r="C1848" i="2" s="1"/>
  <c r="C1849" i="2" s="1"/>
  <c r="C1850" i="2" s="1"/>
  <c r="C1851" i="2" s="1"/>
  <c r="C1852" i="2" s="1"/>
  <c r="C1853" i="2" s="1"/>
  <c r="C1854" i="2" s="1"/>
  <c r="C1855" i="2" s="1"/>
  <c r="C1856" i="2" s="1"/>
  <c r="C1857" i="2" s="1"/>
  <c r="C1858" i="2" s="1"/>
  <c r="C1859" i="2" s="1"/>
  <c r="C1860" i="2" s="1"/>
  <c r="C1861" i="2" s="1"/>
  <c r="C1862" i="2" s="1"/>
  <c r="C1863" i="2" s="1"/>
  <c r="C1864" i="2" s="1"/>
  <c r="C1865" i="2" s="1"/>
  <c r="C1866" i="2" s="1"/>
  <c r="C1867" i="2" s="1"/>
  <c r="C1868" i="2" s="1"/>
  <c r="C1869" i="2" s="1"/>
  <c r="C1870" i="2" s="1"/>
  <c r="C1871" i="2" s="1"/>
  <c r="C1872" i="2" s="1"/>
  <c r="C1873" i="2" s="1"/>
  <c r="C1874" i="2" s="1"/>
  <c r="C1875" i="2" s="1"/>
  <c r="C1876" i="2" s="1"/>
  <c r="C1877" i="2" s="1"/>
  <c r="C1878" i="2" s="1"/>
  <c r="C1879" i="2" s="1"/>
  <c r="C1880" i="2" s="1"/>
  <c r="C1881" i="2" s="1"/>
  <c r="C1882" i="2" s="1"/>
  <c r="C1883" i="2" s="1"/>
  <c r="C1884" i="2" s="1"/>
  <c r="C1885" i="2" s="1"/>
  <c r="C1886" i="2" s="1"/>
  <c r="C1887" i="2" s="1"/>
  <c r="C1888" i="2" s="1"/>
  <c r="C1889" i="2" s="1"/>
  <c r="C1890" i="2" s="1"/>
  <c r="C1891" i="2" s="1"/>
  <c r="C1892" i="2" s="1"/>
  <c r="C1893" i="2" s="1"/>
  <c r="C1894" i="2" s="1"/>
  <c r="C1895" i="2" s="1"/>
  <c r="C1896" i="2" s="1"/>
  <c r="C1897" i="2" s="1"/>
  <c r="C1898" i="2" s="1"/>
  <c r="C1899" i="2" s="1"/>
  <c r="C1900" i="2" s="1"/>
  <c r="C1901" i="2" s="1"/>
  <c r="C1902" i="2" s="1"/>
  <c r="C1903" i="2" s="1"/>
  <c r="C1904" i="2" s="1"/>
  <c r="C1905" i="2" s="1"/>
  <c r="C1906" i="2" s="1"/>
  <c r="C1907" i="2" s="1"/>
  <c r="C1908" i="2" s="1"/>
  <c r="C1909" i="2" s="1"/>
  <c r="C1910" i="2" s="1"/>
  <c r="C1911" i="2" s="1"/>
  <c r="C1912" i="2" s="1"/>
  <c r="C1913" i="2" s="1"/>
  <c r="C1914" i="2" s="1"/>
  <c r="C1915" i="2" s="1"/>
  <c r="C1916" i="2" s="1"/>
  <c r="C1917" i="2" s="1"/>
  <c r="C1918" i="2" s="1"/>
  <c r="C1919" i="2" s="1"/>
  <c r="C1920" i="2" s="1"/>
  <c r="C1921" i="2" s="1"/>
  <c r="C1922" i="2" s="1"/>
  <c r="C1923" i="2" s="1"/>
  <c r="C1924" i="2" s="1"/>
  <c r="C1925" i="2" s="1"/>
  <c r="C1926" i="2" s="1"/>
  <c r="C1927" i="2" s="1"/>
  <c r="C1928" i="2" s="1"/>
  <c r="C1929" i="2" s="1"/>
  <c r="C1930" i="2" s="1"/>
  <c r="C1931" i="2" s="1"/>
  <c r="C1932" i="2" s="1"/>
  <c r="C1933" i="2" s="1"/>
  <c r="C1934" i="2" s="1"/>
  <c r="C1935" i="2" s="1"/>
  <c r="C1936" i="2" s="1"/>
  <c r="C1937" i="2" s="1"/>
  <c r="C1938" i="2" s="1"/>
  <c r="C1939" i="2" s="1"/>
  <c r="C1940" i="2" s="1"/>
  <c r="C1941" i="2" s="1"/>
  <c r="C1942" i="2" s="1"/>
  <c r="C1943" i="2" s="1"/>
  <c r="C1944" i="2" s="1"/>
  <c r="C1945" i="2" s="1"/>
  <c r="C1946" i="2" s="1"/>
  <c r="C1947" i="2" s="1"/>
  <c r="C1948" i="2" s="1"/>
  <c r="C1949" i="2" s="1"/>
  <c r="C1950" i="2" s="1"/>
  <c r="C1951" i="2" s="1"/>
  <c r="C1952" i="2" s="1"/>
  <c r="C1953" i="2" s="1"/>
  <c r="C1954" i="2" s="1"/>
  <c r="C1955" i="2" s="1"/>
  <c r="C1956" i="2" s="1"/>
  <c r="C1957" i="2" s="1"/>
  <c r="C1958" i="2" s="1"/>
  <c r="C1959" i="2" s="1"/>
  <c r="C1960" i="2" s="1"/>
  <c r="C1961" i="2" s="1"/>
  <c r="C1962" i="2" s="1"/>
  <c r="C1963" i="2" s="1"/>
  <c r="C1964" i="2" s="1"/>
  <c r="C1965" i="2" s="1"/>
  <c r="C1966" i="2" s="1"/>
  <c r="C1967" i="2" s="1"/>
  <c r="C1968" i="2" s="1"/>
  <c r="C1969" i="2" s="1"/>
  <c r="C1970" i="2" s="1"/>
  <c r="C1971" i="2" s="1"/>
  <c r="C1972" i="2" s="1"/>
  <c r="C1973" i="2" s="1"/>
  <c r="C1974" i="2" s="1"/>
  <c r="C1975" i="2" s="1"/>
  <c r="C1976" i="2" s="1"/>
  <c r="C1977" i="2" s="1"/>
  <c r="C1978" i="2" s="1"/>
  <c r="C1979" i="2" s="1"/>
  <c r="C1980" i="2" s="1"/>
  <c r="C1981" i="2" s="1"/>
  <c r="C1982" i="2" s="1"/>
  <c r="C1983" i="2" s="1"/>
  <c r="C1984" i="2" s="1"/>
  <c r="C1985" i="2" s="1"/>
  <c r="C1986" i="2" s="1"/>
  <c r="C1987" i="2" s="1"/>
  <c r="C1988" i="2" s="1"/>
  <c r="C1989" i="2" s="1"/>
  <c r="C1990" i="2" s="1"/>
  <c r="C1991" i="2" s="1"/>
  <c r="C1992" i="2" s="1"/>
  <c r="C1993" i="2" s="1"/>
  <c r="C1994" i="2" s="1"/>
  <c r="C1995" i="2" s="1"/>
  <c r="C1996" i="2" s="1"/>
  <c r="C1997" i="2" s="1"/>
  <c r="C1998" i="2" s="1"/>
  <c r="C1999" i="2" s="1"/>
  <c r="C2000" i="2" s="1"/>
  <c r="C2001" i="2" s="1"/>
  <c r="C2002" i="2" s="1"/>
  <c r="C2003" i="2" s="1"/>
  <c r="C2004" i="2" s="1"/>
  <c r="C2005" i="2" s="1"/>
  <c r="C2006" i="2" s="1"/>
  <c r="C2007" i="2" s="1"/>
  <c r="C2008" i="2" s="1"/>
  <c r="C2009" i="2" s="1"/>
  <c r="C2010" i="2" s="1"/>
  <c r="C2011" i="2" s="1"/>
  <c r="C2012" i="2" s="1"/>
  <c r="C2013" i="2" s="1"/>
  <c r="C2014" i="2" s="1"/>
  <c r="C2015" i="2" s="1"/>
  <c r="C2016" i="2" s="1"/>
  <c r="C2017" i="2" s="1"/>
  <c r="C2018" i="2" s="1"/>
  <c r="C2019" i="2" s="1"/>
  <c r="C2020" i="2" s="1"/>
  <c r="C2021" i="2" s="1"/>
  <c r="C2022" i="2" s="1"/>
  <c r="C2023" i="2" s="1"/>
  <c r="C2024" i="2" s="1"/>
  <c r="C2025" i="2" s="1"/>
  <c r="C2026" i="2" s="1"/>
  <c r="C2027" i="2" s="1"/>
  <c r="C2028" i="2" s="1"/>
  <c r="C2029" i="2" s="1"/>
  <c r="C2030" i="2" s="1"/>
  <c r="C2031" i="2" s="1"/>
  <c r="C2032" i="2" s="1"/>
  <c r="C2033" i="2" s="1"/>
  <c r="C2034" i="2" s="1"/>
  <c r="C2035" i="2" s="1"/>
  <c r="C2036" i="2" s="1"/>
  <c r="C2037" i="2" s="1"/>
  <c r="C2038" i="2" s="1"/>
  <c r="C2039" i="2" s="1"/>
  <c r="C2040" i="2" s="1"/>
  <c r="C2041" i="2" s="1"/>
  <c r="C2042" i="2" s="1"/>
  <c r="C2043" i="2" s="1"/>
  <c r="C2044" i="2" s="1"/>
  <c r="C2045" i="2" s="1"/>
  <c r="C2046" i="2" s="1"/>
  <c r="C2047" i="2" s="1"/>
  <c r="C2048" i="2" s="1"/>
  <c r="C2049" i="2" s="1"/>
  <c r="C2050" i="2" s="1"/>
  <c r="C2051" i="2" s="1"/>
  <c r="C2052" i="2" s="1"/>
  <c r="C2053" i="2" s="1"/>
  <c r="C2054" i="2" s="1"/>
  <c r="C2055" i="2" s="1"/>
  <c r="C2056" i="2" s="1"/>
  <c r="C2057" i="2" s="1"/>
  <c r="C2058" i="2" s="1"/>
  <c r="C2059" i="2" s="1"/>
  <c r="C2060" i="2" s="1"/>
  <c r="C2061" i="2" s="1"/>
  <c r="C2062" i="2" s="1"/>
  <c r="C2063" i="2" s="1"/>
  <c r="C2064" i="2" s="1"/>
  <c r="C2065" i="2" s="1"/>
  <c r="C2066" i="2" s="1"/>
  <c r="C2067" i="2" s="1"/>
  <c r="C2068" i="2" s="1"/>
  <c r="C2069" i="2" s="1"/>
  <c r="C2070" i="2" s="1"/>
  <c r="C2071" i="2" s="1"/>
  <c r="C2072" i="2" s="1"/>
  <c r="C2073" i="2" s="1"/>
  <c r="C2074" i="2" s="1"/>
  <c r="C2075" i="2" s="1"/>
  <c r="C2076" i="2" s="1"/>
  <c r="C2077" i="2" s="1"/>
  <c r="C2078" i="2" s="1"/>
  <c r="C2079" i="2" s="1"/>
  <c r="C2080" i="2" s="1"/>
  <c r="C2081" i="2" s="1"/>
  <c r="C2082" i="2" s="1"/>
  <c r="C2083" i="2" s="1"/>
  <c r="C2084" i="2" s="1"/>
  <c r="C2085" i="2" s="1"/>
  <c r="C2086" i="2" s="1"/>
  <c r="C2087" i="2" s="1"/>
  <c r="C2088" i="2" s="1"/>
  <c r="C2089" i="2" s="1"/>
  <c r="C2090" i="2" s="1"/>
  <c r="C2091" i="2" s="1"/>
  <c r="C2092" i="2" s="1"/>
  <c r="C2093" i="2" s="1"/>
  <c r="C2094" i="2" s="1"/>
  <c r="C2095" i="2" s="1"/>
  <c r="C2096" i="2" s="1"/>
  <c r="C2097" i="2" s="1"/>
  <c r="C2098" i="2" s="1"/>
  <c r="C2099" i="2" s="1"/>
  <c r="C2100" i="2" s="1"/>
  <c r="C2101" i="2" s="1"/>
  <c r="C2102" i="2" s="1"/>
  <c r="C2103" i="2" s="1"/>
  <c r="C2104" i="2" s="1"/>
  <c r="C2105" i="2" s="1"/>
  <c r="C2106" i="2" s="1"/>
  <c r="C2107" i="2" s="1"/>
  <c r="C2108" i="2" s="1"/>
  <c r="C2109" i="2" s="1"/>
  <c r="C2110" i="2" s="1"/>
  <c r="C2111" i="2" s="1"/>
  <c r="C2112" i="2" s="1"/>
  <c r="C2113" i="2" s="1"/>
  <c r="C2114" i="2" s="1"/>
  <c r="C2115" i="2" s="1"/>
  <c r="C2116" i="2" s="1"/>
  <c r="C2117" i="2" s="1"/>
  <c r="C2118" i="2" s="1"/>
  <c r="C2119" i="2" s="1"/>
  <c r="C2120" i="2" s="1"/>
  <c r="C2121" i="2" s="1"/>
  <c r="C2122" i="2" s="1"/>
  <c r="C2123" i="2" s="1"/>
  <c r="C2124" i="2" s="1"/>
  <c r="C2125" i="2" s="1"/>
  <c r="C2126" i="2" s="1"/>
  <c r="C2127" i="2" s="1"/>
  <c r="C2128" i="2" s="1"/>
  <c r="C2129" i="2" s="1"/>
  <c r="C2130" i="2" s="1"/>
  <c r="C2131" i="2" s="1"/>
  <c r="C2132" i="2" s="1"/>
  <c r="C2133" i="2" s="1"/>
  <c r="C2134" i="2" s="1"/>
  <c r="C2135" i="2" s="1"/>
  <c r="C2136" i="2" s="1"/>
  <c r="C2137" i="2" s="1"/>
  <c r="C2138" i="2" s="1"/>
  <c r="C2139" i="2" s="1"/>
  <c r="C2140" i="2" s="1"/>
  <c r="C2141" i="2" s="1"/>
  <c r="C2142" i="2" s="1"/>
  <c r="C2143" i="2" s="1"/>
  <c r="C2144" i="2" s="1"/>
  <c r="C2145" i="2" s="1"/>
  <c r="C2146" i="2" s="1"/>
  <c r="C2147" i="2" s="1"/>
  <c r="C2148" i="2" s="1"/>
  <c r="C2149" i="2" s="1"/>
  <c r="C2150" i="2" s="1"/>
  <c r="C2151" i="2" s="1"/>
  <c r="C2152" i="2" s="1"/>
  <c r="C2153" i="2" s="1"/>
  <c r="C2154" i="2" s="1"/>
  <c r="C2155" i="2" s="1"/>
  <c r="C2156" i="2" s="1"/>
  <c r="C2157" i="2" s="1"/>
  <c r="C2158" i="2" s="1"/>
  <c r="C2159" i="2" s="1"/>
  <c r="C2160" i="2" s="1"/>
  <c r="C2161" i="2" s="1"/>
  <c r="C2162" i="2" s="1"/>
  <c r="C2163" i="2" s="1"/>
  <c r="C2164" i="2" s="1"/>
  <c r="C2165" i="2" s="1"/>
  <c r="C2166" i="2" s="1"/>
  <c r="C2167" i="2" s="1"/>
  <c r="C2168" i="2" s="1"/>
  <c r="C2169" i="2" s="1"/>
  <c r="C2170" i="2" s="1"/>
  <c r="C2171" i="2" s="1"/>
  <c r="C2172" i="2" s="1"/>
  <c r="C2173" i="2" s="1"/>
  <c r="C2174" i="2" s="1"/>
  <c r="C2175" i="2" s="1"/>
  <c r="C2176" i="2" s="1"/>
  <c r="C2177" i="2" s="1"/>
  <c r="C2178" i="2" s="1"/>
  <c r="C2179" i="2" s="1"/>
  <c r="C2180" i="2" s="1"/>
  <c r="C2181" i="2" s="1"/>
  <c r="C2182" i="2" s="1"/>
  <c r="C2183" i="2" s="1"/>
  <c r="C2184" i="2" s="1"/>
  <c r="C2185" i="2" s="1"/>
  <c r="C2186" i="2" s="1"/>
  <c r="C2187" i="2" s="1"/>
  <c r="C2188" i="2" s="1"/>
  <c r="C2189" i="2" s="1"/>
  <c r="C2190" i="2" s="1"/>
  <c r="C2191" i="2" s="1"/>
  <c r="C2192" i="2" s="1"/>
  <c r="C2193" i="2" s="1"/>
  <c r="C2194" i="2" s="1"/>
  <c r="C2195" i="2" s="1"/>
  <c r="C2196" i="2" s="1"/>
  <c r="C2197" i="2" s="1"/>
  <c r="C2198" i="2" s="1"/>
  <c r="C2199" i="2" s="1"/>
  <c r="C2200" i="2" s="1"/>
  <c r="C2201" i="2" s="1"/>
  <c r="C2202" i="2" s="1"/>
  <c r="C2203" i="2" s="1"/>
  <c r="C2204" i="2" s="1"/>
  <c r="C2205" i="2" s="1"/>
  <c r="C2206" i="2" s="1"/>
  <c r="C2207" i="2" s="1"/>
  <c r="C2208" i="2" s="1"/>
  <c r="C2209" i="2" s="1"/>
  <c r="C2210" i="2" s="1"/>
  <c r="C2211" i="2" s="1"/>
  <c r="C2212" i="2" s="1"/>
  <c r="C2213" i="2" s="1"/>
  <c r="C2214" i="2" s="1"/>
  <c r="C2215" i="2" s="1"/>
  <c r="C2216" i="2" s="1"/>
  <c r="C2217" i="2" s="1"/>
  <c r="C2218" i="2" s="1"/>
  <c r="C2219" i="2" s="1"/>
  <c r="C2220" i="2" s="1"/>
  <c r="C2221" i="2" s="1"/>
  <c r="C2222" i="2" s="1"/>
  <c r="C2223" i="2" s="1"/>
  <c r="C2224" i="2" s="1"/>
  <c r="C2225" i="2" s="1"/>
  <c r="C2226" i="2" s="1"/>
  <c r="C2227" i="2" s="1"/>
  <c r="C2228" i="2" s="1"/>
  <c r="C2229" i="2" s="1"/>
  <c r="C2230" i="2" s="1"/>
  <c r="C2231" i="2" s="1"/>
  <c r="C2232" i="2" s="1"/>
  <c r="C2233" i="2" s="1"/>
  <c r="C2234" i="2" s="1"/>
  <c r="C2235" i="2" s="1"/>
  <c r="C2236" i="2" s="1"/>
  <c r="C2237" i="2" s="1"/>
  <c r="C2238" i="2" s="1"/>
  <c r="C2239" i="2" s="1"/>
  <c r="C2240" i="2" s="1"/>
  <c r="C2241" i="2" s="1"/>
  <c r="C2242" i="2" s="1"/>
  <c r="C2243" i="2" s="1"/>
  <c r="C2244" i="2" s="1"/>
  <c r="C2245" i="2" s="1"/>
  <c r="C2246" i="2" s="1"/>
  <c r="C2247" i="2" s="1"/>
  <c r="C2248" i="2" s="1"/>
  <c r="C2249" i="2" s="1"/>
  <c r="C2250" i="2" s="1"/>
  <c r="C2251" i="2" s="1"/>
  <c r="C2252" i="2" s="1"/>
  <c r="C2253" i="2" s="1"/>
  <c r="C2254" i="2" s="1"/>
  <c r="C2255" i="2" s="1"/>
  <c r="C2256" i="2" s="1"/>
  <c r="C2257" i="2" s="1"/>
  <c r="C2258" i="2" s="1"/>
  <c r="C2259" i="2" s="1"/>
  <c r="C2260" i="2" s="1"/>
  <c r="C2261" i="2" s="1"/>
  <c r="C2262" i="2" s="1"/>
  <c r="C2263" i="2" s="1"/>
  <c r="C2264" i="2" s="1"/>
  <c r="C2265" i="2" s="1"/>
  <c r="C2266" i="2" s="1"/>
  <c r="C2267" i="2" s="1"/>
  <c r="C2268" i="2" s="1"/>
  <c r="C2269" i="2" s="1"/>
  <c r="C2270" i="2" s="1"/>
  <c r="C2271" i="2" s="1"/>
  <c r="C2272" i="2" s="1"/>
  <c r="C2273" i="2" s="1"/>
  <c r="C2274" i="2" s="1"/>
  <c r="C2275" i="2" s="1"/>
  <c r="C2276" i="2" s="1"/>
  <c r="C2277" i="2" s="1"/>
  <c r="C2278" i="2" s="1"/>
  <c r="C2279" i="2" s="1"/>
  <c r="C2280" i="2" s="1"/>
  <c r="C2281" i="2" s="1"/>
  <c r="C2282" i="2" s="1"/>
  <c r="C2283" i="2" s="1"/>
  <c r="C2284" i="2" s="1"/>
  <c r="C2285" i="2" s="1"/>
  <c r="C2286" i="2" s="1"/>
  <c r="C2287" i="2" s="1"/>
  <c r="C2288" i="2" s="1"/>
  <c r="C2289" i="2" s="1"/>
  <c r="C2290" i="2" s="1"/>
  <c r="C2291" i="2" s="1"/>
  <c r="C2292" i="2" s="1"/>
  <c r="C2293" i="2" s="1"/>
  <c r="C2294" i="2" s="1"/>
  <c r="C2295" i="2" s="1"/>
  <c r="C2296" i="2" s="1"/>
  <c r="C2297" i="2" s="1"/>
  <c r="C2298" i="2" s="1"/>
  <c r="C2299" i="2" s="1"/>
  <c r="C2300" i="2" s="1"/>
  <c r="C2301" i="2" s="1"/>
  <c r="C2302" i="2" s="1"/>
  <c r="C2303" i="2" s="1"/>
  <c r="C2304" i="2" s="1"/>
  <c r="C2305" i="2" s="1"/>
  <c r="C2306" i="2" s="1"/>
  <c r="C2307" i="2" s="1"/>
  <c r="C2308" i="2" s="1"/>
  <c r="C2309" i="2" s="1"/>
  <c r="C2310" i="2" s="1"/>
  <c r="C2311" i="2" s="1"/>
  <c r="C2312" i="2" s="1"/>
  <c r="C2313" i="2" s="1"/>
  <c r="C2314" i="2" s="1"/>
  <c r="C2315" i="2" s="1"/>
  <c r="C2316" i="2" s="1"/>
  <c r="C2317" i="2" s="1"/>
  <c r="C4" i="2"/>
  <c r="C3" i="2"/>
  <c r="V11" i="13" l="1"/>
  <c r="U11" i="13"/>
  <c r="T11" i="13"/>
  <c r="V10" i="13"/>
  <c r="U10" i="13"/>
  <c r="T10" i="13"/>
  <c r="D6" i="13" l="1"/>
  <c r="D7" i="13"/>
  <c r="D5" i="13"/>
  <c r="W10" i="13" l="1"/>
  <c r="W11" i="13"/>
  <c r="D25" i="12"/>
  <c r="E3" i="9" l="1"/>
  <c r="D3" i="9"/>
  <c r="AF28" i="4"/>
  <c r="AF26" i="4"/>
  <c r="AC26" i="4"/>
  <c r="I3" i="9" l="1"/>
  <c r="I3" i="15"/>
  <c r="L3" i="9"/>
  <c r="L3" i="15"/>
  <c r="AC28" i="4"/>
  <c r="B3" i="9"/>
  <c r="F3" i="9"/>
  <c r="F3" i="15"/>
  <c r="B3" i="15"/>
  <c r="C3" i="9" l="1"/>
  <c r="C3" i="15"/>
  <c r="Z24" i="4"/>
  <c r="Z25" i="4" s="1"/>
  <c r="T10" i="4" l="1"/>
  <c r="F1" i="2" l="1"/>
</calcChain>
</file>

<file path=xl/sharedStrings.xml><?xml version="1.0" encoding="utf-8"?>
<sst xmlns="http://schemas.openxmlformats.org/spreadsheetml/2006/main" count="4796" uniqueCount="2415">
  <si>
    <t>about</t>
  </si>
  <si>
    <t>above</t>
  </si>
  <si>
    <t>abuse</t>
  </si>
  <si>
    <t>actor</t>
  </si>
  <si>
    <t>adapt</t>
  </si>
  <si>
    <t>admit</t>
  </si>
  <si>
    <t>adopt</t>
  </si>
  <si>
    <t>adult</t>
  </si>
  <si>
    <t>after</t>
  </si>
  <si>
    <t>again</t>
  </si>
  <si>
    <t>agent</t>
  </si>
  <si>
    <t>agree</t>
  </si>
  <si>
    <t>ahead</t>
  </si>
  <si>
    <t>album</t>
  </si>
  <si>
    <t>alive</t>
  </si>
  <si>
    <t>allow</t>
  </si>
  <si>
    <t>alone</t>
  </si>
  <si>
    <t>along</t>
  </si>
  <si>
    <t>alter</t>
  </si>
  <si>
    <t>among</t>
  </si>
  <si>
    <t>anger</t>
  </si>
  <si>
    <t>angle</t>
  </si>
  <si>
    <t>angry</t>
  </si>
  <si>
    <t>apart</t>
  </si>
  <si>
    <t>apple</t>
  </si>
  <si>
    <t>apply</t>
  </si>
  <si>
    <t>argue</t>
  </si>
  <si>
    <t>arise</t>
  </si>
  <si>
    <t>aside</t>
  </si>
  <si>
    <t>asset</t>
  </si>
  <si>
    <t>avoid</t>
  </si>
  <si>
    <t>award</t>
  </si>
  <si>
    <t>aware</t>
  </si>
  <si>
    <t>awful</t>
  </si>
  <si>
    <t>badly</t>
  </si>
  <si>
    <t>basic</t>
  </si>
  <si>
    <t>basis</t>
  </si>
  <si>
    <t>beach</t>
  </si>
  <si>
    <t>begin</t>
  </si>
  <si>
    <t>being</t>
  </si>
  <si>
    <t>below</t>
  </si>
  <si>
    <t>bench</t>
  </si>
  <si>
    <t>birth</t>
  </si>
  <si>
    <t>black</t>
  </si>
  <si>
    <t>blade</t>
  </si>
  <si>
    <t>blame</t>
  </si>
  <si>
    <t>blind</t>
  </si>
  <si>
    <t>block</t>
  </si>
  <si>
    <t>blood</t>
  </si>
  <si>
    <t>board</t>
  </si>
  <si>
    <t>brain</t>
  </si>
  <si>
    <t>brand</t>
  </si>
  <si>
    <t>bread</t>
  </si>
  <si>
    <t>break</t>
  </si>
  <si>
    <t>brick</t>
  </si>
  <si>
    <t>brief</t>
  </si>
  <si>
    <t>bring</t>
  </si>
  <si>
    <t>broad</t>
  </si>
  <si>
    <t>brown</t>
  </si>
  <si>
    <t>brush</t>
  </si>
  <si>
    <t>build</t>
  </si>
  <si>
    <t>bunch</t>
  </si>
  <si>
    <t>buyer</t>
  </si>
  <si>
    <t>cabin</t>
  </si>
  <si>
    <t>cable</t>
  </si>
  <si>
    <t>carry</t>
  </si>
  <si>
    <t>catch</t>
  </si>
  <si>
    <t>cause</t>
  </si>
  <si>
    <t>chain</t>
  </si>
  <si>
    <t>chair</t>
  </si>
  <si>
    <t>chart</t>
  </si>
  <si>
    <t>chase</t>
  </si>
  <si>
    <t>cheap</t>
  </si>
  <si>
    <t>check</t>
  </si>
  <si>
    <t>cheek</t>
  </si>
  <si>
    <t>chest</t>
  </si>
  <si>
    <t>chief</t>
  </si>
  <si>
    <t>child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</si>
  <si>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</si>
  <si>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</si>
  <si>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</si>
  <si>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</si>
  <si>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</si>
  <si>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</si>
  <si>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</si>
  <si>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</si>
  <si>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cloud</t>
  </si>
  <si>
    <t>coach</t>
  </si>
  <si>
    <t>coast</t>
  </si>
  <si>
    <t>color</t>
  </si>
  <si>
    <t>couch</t>
  </si>
  <si>
    <t>could</t>
  </si>
  <si>
    <t>count</t>
  </si>
  <si>
    <t>court</t>
  </si>
  <si>
    <t>cover</t>
  </si>
  <si>
    <t>crack</t>
  </si>
  <si>
    <t>craft</t>
  </si>
  <si>
    <t>crash</t>
  </si>
  <si>
    <t>crazy</t>
  </si>
  <si>
    <t>cream</t>
  </si>
  <si>
    <t>crime</t>
  </si>
  <si>
    <t>cross</t>
  </si>
  <si>
    <t>crowd</t>
  </si>
  <si>
    <t>cycle</t>
  </si>
  <si>
    <t>daily</t>
  </si>
  <si>
    <t>dance</t>
  </si>
  <si>
    <t>death</t>
  </si>
  <si>
    <t>delay</t>
  </si>
  <si>
    <t>depth</t>
  </si>
  <si>
    <t>dirty</t>
  </si>
  <si>
    <t>doubt</t>
  </si>
  <si>
    <t>dozen</t>
  </si>
  <si>
    <t>draft</t>
  </si>
  <si>
    <t>drama</t>
  </si>
  <si>
    <t>dream</t>
  </si>
  <si>
    <t>dress</t>
  </si>
  <si>
    <t>drink</t>
  </si>
  <si>
    <t>drive</t>
  </si>
  <si>
    <t>eager</t>
  </si>
  <si>
    <t>early</t>
  </si>
  <si>
    <t>earth</t>
  </si>
  <si>
    <t>eight</t>
  </si>
  <si>
    <t>elect</t>
  </si>
  <si>
    <t>elite</t>
  </si>
  <si>
    <t>empty</t>
  </si>
  <si>
    <t>enemy</t>
  </si>
  <si>
    <t>enjoy</t>
  </si>
  <si>
    <t>enter</t>
  </si>
  <si>
    <t>entry</t>
  </si>
  <si>
    <t>equal</t>
  </si>
  <si>
    <t>error</t>
  </si>
  <si>
    <t>essay</t>
  </si>
  <si>
    <t>event</t>
  </si>
  <si>
    <t>every</t>
  </si>
  <si>
    <t>exact</t>
  </si>
  <si>
    <t>exist</t>
  </si>
  <si>
    <t>extra</t>
  </si>
  <si>
    <t>faith</t>
  </si>
  <si>
    <t>fault</t>
  </si>
  <si>
    <t>favor</t>
  </si>
  <si>
    <t>fence</t>
  </si>
  <si>
    <t>fewer</t>
  </si>
  <si>
    <t>fiber</t>
  </si>
  <si>
    <t>field</t>
  </si>
  <si>
    <t>fifth</t>
  </si>
  <si>
    <t>fifty</t>
  </si>
  <si>
    <t>fight</t>
  </si>
  <si>
    <t>final</t>
  </si>
  <si>
    <t>first</t>
  </si>
  <si>
    <t>flame</t>
  </si>
  <si>
    <t>flesh</t>
  </si>
  <si>
    <t>float</t>
  </si>
  <si>
    <t>floor</t>
  </si>
  <si>
    <t>focus</t>
  </si>
  <si>
    <t>force</t>
  </si>
  <si>
    <t>forth</t>
  </si>
  <si>
    <t>found</t>
  </si>
  <si>
    <t>frame</t>
  </si>
  <si>
    <t>fresh</t>
  </si>
  <si>
    <t>front</t>
  </si>
  <si>
    <t>fruit</t>
  </si>
  <si>
    <t>fully</t>
  </si>
  <si>
    <t>funny</t>
  </si>
  <si>
    <t>ghost</t>
  </si>
  <si>
    <t>giant</t>
  </si>
  <si>
    <t>given</t>
  </si>
  <si>
    <t>glass</t>
  </si>
  <si>
    <t>glove</t>
  </si>
  <si>
    <t>grade</t>
  </si>
  <si>
    <t>grain</t>
  </si>
  <si>
    <t>grand</t>
  </si>
  <si>
    <t>grant</t>
  </si>
  <si>
    <t>grass</t>
  </si>
  <si>
    <t>grave</t>
  </si>
  <si>
    <t>great</t>
  </si>
  <si>
    <t>green</t>
  </si>
  <si>
    <t>group</t>
  </si>
  <si>
    <t>guard</t>
  </si>
  <si>
    <t>guess</t>
  </si>
  <si>
    <t>guest</t>
  </si>
  <si>
    <t>guide</t>
  </si>
  <si>
    <t>habit</t>
  </si>
  <si>
    <t>happy</t>
  </si>
  <si>
    <t>heart</t>
  </si>
  <si>
    <t>heavy</t>
  </si>
  <si>
    <t>hello</t>
  </si>
  <si>
    <t>honey</t>
  </si>
  <si>
    <t>honor</t>
  </si>
  <si>
    <t>horse</t>
  </si>
  <si>
    <t>hotel</t>
  </si>
  <si>
    <t>house</t>
  </si>
  <si>
    <t>human</t>
  </si>
  <si>
    <t>humor</t>
  </si>
  <si>
    <t>ideal</t>
  </si>
  <si>
    <t>image</t>
  </si>
  <si>
    <t>imply</t>
  </si>
  <si>
    <t>index</t>
  </si>
  <si>
    <t>inner</t>
  </si>
  <si>
    <t>issue</t>
  </si>
  <si>
    <t>joint</t>
  </si>
  <si>
    <t>judge</t>
  </si>
  <si>
    <t>juice</t>
  </si>
  <si>
    <t>knife</t>
  </si>
  <si>
    <t>knock</t>
  </si>
  <si>
    <t>label</t>
  </si>
  <si>
    <t>labor</t>
  </si>
  <si>
    <t>large</t>
  </si>
  <si>
    <t>later</t>
  </si>
  <si>
    <t>laugh</t>
  </si>
  <si>
    <t>layer</t>
  </si>
  <si>
    <t>learn</t>
  </si>
  <si>
    <t>least</t>
  </si>
  <si>
    <t>leave</t>
  </si>
  <si>
    <t>legal</t>
  </si>
  <si>
    <t>lemon</t>
  </si>
  <si>
    <t>level</t>
  </si>
  <si>
    <t>light</t>
  </si>
  <si>
    <t>limit</t>
  </si>
  <si>
    <t>local</t>
  </si>
  <si>
    <t>loose</t>
  </si>
  <si>
    <t>lover</t>
  </si>
  <si>
    <t>lower</t>
  </si>
  <si>
    <t>lucky</t>
  </si>
  <si>
    <t>lunch</t>
  </si>
  <si>
    <t>major</t>
  </si>
  <si>
    <t>maker</t>
  </si>
  <si>
    <t>marry</t>
  </si>
  <si>
    <t>match</t>
  </si>
  <si>
    <t>maybe</t>
  </si>
  <si>
    <t>mayor</t>
  </si>
  <si>
    <t>media</t>
  </si>
  <si>
    <t>metal</t>
  </si>
  <si>
    <t>meter</t>
  </si>
  <si>
    <t>might</t>
  </si>
  <si>
    <t>minor</t>
  </si>
  <si>
    <t>model</t>
  </si>
  <si>
    <t>money</t>
  </si>
  <si>
    <t>month</t>
  </si>
  <si>
    <t>moral</t>
  </si>
  <si>
    <t>motor</t>
  </si>
  <si>
    <t>mount</t>
  </si>
  <si>
    <t>mouse</t>
  </si>
  <si>
    <t>mouth</t>
  </si>
  <si>
    <t>movie</t>
  </si>
  <si>
    <t>music</t>
  </si>
  <si>
    <t>nerve</t>
  </si>
  <si>
    <t>never</t>
  </si>
  <si>
    <t>newly</t>
  </si>
  <si>
    <t>night</t>
  </si>
  <si>
    <t>noise</t>
  </si>
  <si>
    <t>north</t>
  </si>
  <si>
    <t>novel</t>
  </si>
  <si>
    <t>nurse</t>
  </si>
  <si>
    <t>occur</t>
  </si>
  <si>
    <t>ocean</t>
  </si>
  <si>
    <t>offer</t>
  </si>
  <si>
    <t>often</t>
  </si>
  <si>
    <t>onion</t>
  </si>
  <si>
    <t>order</t>
  </si>
  <si>
    <t>other</t>
  </si>
  <si>
    <t>ought</t>
  </si>
  <si>
    <t>owner</t>
  </si>
  <si>
    <t>paint</t>
  </si>
  <si>
    <t>panel</t>
  </si>
  <si>
    <t>paper</t>
  </si>
  <si>
    <t>party</t>
  </si>
  <si>
    <t>patch</t>
  </si>
  <si>
    <t>pause</t>
  </si>
  <si>
    <t>peace</t>
  </si>
  <si>
    <t>phase</t>
  </si>
  <si>
    <t>phone</t>
  </si>
  <si>
    <t>photo</t>
  </si>
  <si>
    <t>piano</t>
  </si>
  <si>
    <t>piece</t>
  </si>
  <si>
    <t>pilot</t>
  </si>
  <si>
    <t>pitch</t>
  </si>
  <si>
    <t>place</t>
  </si>
  <si>
    <t>plane</t>
  </si>
  <si>
    <t>plant</t>
  </si>
  <si>
    <t>plate</t>
  </si>
  <si>
    <t>point</t>
  </si>
  <si>
    <t>porch</t>
  </si>
  <si>
    <t>pound</t>
  </si>
  <si>
    <t>power</t>
  </si>
  <si>
    <t>press</t>
  </si>
  <si>
    <t>price</t>
  </si>
  <si>
    <t>pride</t>
  </si>
  <si>
    <t>prime</t>
  </si>
  <si>
    <t>print</t>
  </si>
  <si>
    <t>prior</t>
  </si>
  <si>
    <t>proof</t>
  </si>
  <si>
    <t>proud</t>
  </si>
  <si>
    <t>prove</t>
  </si>
  <si>
    <t>quick</t>
  </si>
  <si>
    <t>quiet</t>
  </si>
  <si>
    <t>quite</t>
  </si>
  <si>
    <t>quote</t>
  </si>
  <si>
    <t>radio</t>
  </si>
  <si>
    <t>raise</t>
  </si>
  <si>
    <t>range</t>
  </si>
  <si>
    <t>rapid</t>
  </si>
  <si>
    <t>ratio</t>
  </si>
  <si>
    <t>reach</t>
  </si>
  <si>
    <t>react</t>
  </si>
  <si>
    <t>ready</t>
  </si>
  <si>
    <t>refer</t>
  </si>
  <si>
    <t>relax</t>
  </si>
  <si>
    <t>reply</t>
  </si>
  <si>
    <t>rifle</t>
  </si>
  <si>
    <t>right</t>
  </si>
  <si>
    <t>river</t>
  </si>
  <si>
    <t>rough</t>
  </si>
  <si>
    <t>round</t>
  </si>
  <si>
    <t>route</t>
  </si>
  <si>
    <t>rural</t>
  </si>
  <si>
    <t>salad</t>
  </si>
  <si>
    <t>sauce</t>
  </si>
  <si>
    <t>scale</t>
  </si>
  <si>
    <t>scene</t>
  </si>
  <si>
    <t>scope</t>
  </si>
  <si>
    <t>score</t>
  </si>
  <si>
    <t>seize</t>
  </si>
  <si>
    <t>sense</t>
  </si>
  <si>
    <t>serve</t>
  </si>
  <si>
    <t>seven</t>
  </si>
  <si>
    <t>shade</t>
  </si>
  <si>
    <t>shake</t>
  </si>
  <si>
    <t>shall</t>
  </si>
  <si>
    <t>shape</t>
  </si>
  <si>
    <t>share</t>
  </si>
  <si>
    <t>sharp</t>
  </si>
  <si>
    <t>sheet</t>
  </si>
  <si>
    <t>shelf</t>
  </si>
  <si>
    <t>shell</t>
  </si>
  <si>
    <t>shift</t>
  </si>
  <si>
    <t>shine</t>
  </si>
  <si>
    <t>shirt</t>
  </si>
  <si>
    <t>shock</t>
  </si>
  <si>
    <t>shoot</t>
  </si>
  <si>
    <t>shore</t>
  </si>
  <si>
    <t>short</t>
  </si>
  <si>
    <t>shout</t>
  </si>
  <si>
    <t>shrug</t>
  </si>
  <si>
    <t>sight</t>
  </si>
  <si>
    <t>since</t>
  </si>
  <si>
    <t>skill</t>
  </si>
  <si>
    <t>slave</t>
  </si>
  <si>
    <t>sleep</t>
  </si>
  <si>
    <t>slice</t>
  </si>
  <si>
    <t>slide</t>
  </si>
  <si>
    <t>small</t>
  </si>
  <si>
    <t>smart</t>
  </si>
  <si>
    <t>smell</t>
  </si>
  <si>
    <t>smile</t>
  </si>
  <si>
    <t>smoke</t>
  </si>
  <si>
    <t>solar</t>
  </si>
  <si>
    <t>solid</t>
  </si>
  <si>
    <t>solve</t>
  </si>
  <si>
    <t>sorry</t>
  </si>
  <si>
    <t>sound</t>
  </si>
  <si>
    <t>south</t>
  </si>
  <si>
    <t>space</t>
  </si>
  <si>
    <t>speak</t>
  </si>
  <si>
    <t>speed</t>
  </si>
  <si>
    <t>spend</t>
  </si>
  <si>
    <t>split</t>
  </si>
  <si>
    <t>sport</t>
  </si>
  <si>
    <t>staff</t>
  </si>
  <si>
    <t>stage</t>
  </si>
  <si>
    <t>stair</t>
  </si>
  <si>
    <t>stake</t>
  </si>
  <si>
    <t>stand</t>
  </si>
  <si>
    <t>stare</t>
  </si>
  <si>
    <t>start</t>
  </si>
  <si>
    <t>state</t>
  </si>
  <si>
    <t>steal</t>
  </si>
  <si>
    <t>steel</t>
  </si>
  <si>
    <t>stick</t>
  </si>
  <si>
    <t>still</t>
  </si>
  <si>
    <t>stock</t>
  </si>
  <si>
    <t>stone</t>
  </si>
  <si>
    <t>store</t>
  </si>
  <si>
    <t>storm</t>
  </si>
  <si>
    <t>story</t>
  </si>
  <si>
    <t>strip</t>
  </si>
  <si>
    <t>study</t>
  </si>
  <si>
    <t>stuff</t>
  </si>
  <si>
    <t>style</t>
  </si>
  <si>
    <t>sugar</t>
  </si>
  <si>
    <t>super</t>
  </si>
  <si>
    <t>swear</t>
  </si>
  <si>
    <t>sweep</t>
  </si>
  <si>
    <t>sweet</t>
  </si>
  <si>
    <t>swing</t>
  </si>
  <si>
    <t>table</t>
  </si>
  <si>
    <t>taste</t>
  </si>
  <si>
    <t>teach</t>
  </si>
  <si>
    <t>thank</t>
  </si>
  <si>
    <t>their</t>
  </si>
  <si>
    <t>theme</t>
  </si>
  <si>
    <t>there</t>
  </si>
  <si>
    <t>these</t>
  </si>
  <si>
    <t>thick</t>
  </si>
  <si>
    <t>thing</t>
  </si>
  <si>
    <t>think</t>
  </si>
  <si>
    <t>third</t>
  </si>
  <si>
    <t>those</t>
  </si>
  <si>
    <t>three</t>
  </si>
  <si>
    <t>throw</t>
  </si>
  <si>
    <t>tight</t>
  </si>
  <si>
    <t>title</t>
  </si>
  <si>
    <t>today</t>
  </si>
  <si>
    <t>tooth</t>
  </si>
  <si>
    <t>topic</t>
  </si>
  <si>
    <t>total</t>
  </si>
  <si>
    <t>touch</t>
  </si>
  <si>
    <t>tough</t>
  </si>
  <si>
    <t>tower</t>
  </si>
  <si>
    <t>trace</t>
  </si>
  <si>
    <t>track</t>
  </si>
  <si>
    <t>trade</t>
  </si>
  <si>
    <t>trail</t>
  </si>
  <si>
    <t>train</t>
  </si>
  <si>
    <t>treat</t>
  </si>
  <si>
    <t>trend</t>
  </si>
  <si>
    <t>trial</t>
  </si>
  <si>
    <t>tribe</t>
  </si>
  <si>
    <t>trick</t>
  </si>
  <si>
    <t>troop</t>
  </si>
  <si>
    <t>truck</t>
  </si>
  <si>
    <t>truly</t>
  </si>
  <si>
    <t>trust</t>
  </si>
  <si>
    <t>truth</t>
  </si>
  <si>
    <t>twice</t>
  </si>
  <si>
    <t>uncle</t>
  </si>
  <si>
    <t>under</t>
  </si>
  <si>
    <t>union</t>
  </si>
  <si>
    <t>until</t>
  </si>
  <si>
    <t>upper</t>
  </si>
  <si>
    <t>urban</t>
  </si>
  <si>
    <t>usual</t>
  </si>
  <si>
    <t>value</t>
  </si>
  <si>
    <t>video</t>
  </si>
  <si>
    <t>virus</t>
  </si>
  <si>
    <t>visit</t>
  </si>
  <si>
    <t>vital</t>
  </si>
  <si>
    <t>voice</t>
  </si>
  <si>
    <t>voter</t>
  </si>
  <si>
    <t>waste</t>
  </si>
  <si>
    <t>watch</t>
  </si>
  <si>
    <t>water</t>
  </si>
  <si>
    <t>weigh</t>
  </si>
  <si>
    <t>wheel</t>
  </si>
  <si>
    <t>where</t>
  </si>
  <si>
    <t>which</t>
  </si>
  <si>
    <t>while</t>
  </si>
  <si>
    <t>white</t>
  </si>
  <si>
    <t>whole</t>
  </si>
  <si>
    <t>whose</t>
  </si>
  <si>
    <t>woman</t>
  </si>
  <si>
    <t>world</t>
  </si>
  <si>
    <t>worry</t>
  </si>
  <si>
    <t>worth</t>
  </si>
  <si>
    <t>would</t>
  </si>
  <si>
    <t>wound</t>
  </si>
  <si>
    <t>write</t>
  </si>
  <si>
    <t>wrong</t>
  </si>
  <si>
    <t>yield</t>
  </si>
  <si>
    <t>young</t>
  </si>
  <si>
    <t>youth</t>
  </si>
  <si>
    <t>cigar</t>
  </si>
  <si>
    <t>rebut</t>
  </si>
  <si>
    <t>sissy</t>
  </si>
  <si>
    <t>humph</t>
  </si>
  <si>
    <t>awake</t>
  </si>
  <si>
    <t>blush</t>
  </si>
  <si>
    <t>focal</t>
  </si>
  <si>
    <t>evade</t>
  </si>
  <si>
    <t>naval</t>
  </si>
  <si>
    <t>heath</t>
  </si>
  <si>
    <t>dwarf</t>
  </si>
  <si>
    <t>karma</t>
  </si>
  <si>
    <t>stink</t>
  </si>
  <si>
    <t>abate</t>
  </si>
  <si>
    <t>feign</t>
  </si>
  <si>
    <t>crust</t>
  </si>
  <si>
    <t>stool</t>
  </si>
  <si>
    <t>colon</t>
  </si>
  <si>
    <t>abase</t>
  </si>
  <si>
    <t>batty</t>
  </si>
  <si>
    <t>floss</t>
  </si>
  <si>
    <t>helix</t>
  </si>
  <si>
    <t>croak</t>
  </si>
  <si>
    <t>unfed</t>
  </si>
  <si>
    <t>whelp</t>
  </si>
  <si>
    <t>trawl</t>
  </si>
  <si>
    <t>outdo</t>
  </si>
  <si>
    <t>adobe</t>
  </si>
  <si>
    <t>sower</t>
  </si>
  <si>
    <t>repay</t>
  </si>
  <si>
    <t>digit</t>
  </si>
  <si>
    <t>crate</t>
  </si>
  <si>
    <t>cluck</t>
  </si>
  <si>
    <t>spike</t>
  </si>
  <si>
    <t>mimic</t>
  </si>
  <si>
    <t>maxim</t>
  </si>
  <si>
    <t>linen</t>
  </si>
  <si>
    <t>unmet</t>
  </si>
  <si>
    <t>booby</t>
  </si>
  <si>
    <t>belly</t>
  </si>
  <si>
    <t>ivory</t>
  </si>
  <si>
    <t>seedy</t>
  </si>
  <si>
    <t>yearn</t>
  </si>
  <si>
    <t>drain</t>
  </si>
  <si>
    <t>bribe</t>
  </si>
  <si>
    <t>stout</t>
  </si>
  <si>
    <t>crass</t>
  </si>
  <si>
    <t>flume</t>
  </si>
  <si>
    <t>offal</t>
  </si>
  <si>
    <t>swirl</t>
  </si>
  <si>
    <t>bleed</t>
  </si>
  <si>
    <t>delta</t>
  </si>
  <si>
    <t>flick</t>
  </si>
  <si>
    <t>totem</t>
  </si>
  <si>
    <t>wooer</t>
  </si>
  <si>
    <t>shrub</t>
  </si>
  <si>
    <t>parry</t>
  </si>
  <si>
    <t>biome</t>
  </si>
  <si>
    <t>lapel</t>
  </si>
  <si>
    <t>greet</t>
  </si>
  <si>
    <t>goner</t>
  </si>
  <si>
    <t>golem</t>
  </si>
  <si>
    <t>lusty</t>
  </si>
  <si>
    <t>loopy</t>
  </si>
  <si>
    <t>audit</t>
  </si>
  <si>
    <t>lying</t>
  </si>
  <si>
    <t>gamma</t>
  </si>
  <si>
    <t>islet</t>
  </si>
  <si>
    <t>civic</t>
  </si>
  <si>
    <t>forge</t>
  </si>
  <si>
    <t>corny</t>
  </si>
  <si>
    <t>moult</t>
  </si>
  <si>
    <t>agate</t>
  </si>
  <si>
    <t>spicy</t>
  </si>
  <si>
    <t>spray</t>
  </si>
  <si>
    <t>fjord</t>
  </si>
  <si>
    <t>kebab</t>
  </si>
  <si>
    <t>guild</t>
  </si>
  <si>
    <t>aback</t>
  </si>
  <si>
    <t>hatch</t>
  </si>
  <si>
    <t>hyper</t>
  </si>
  <si>
    <t>thumb</t>
  </si>
  <si>
    <t>dowry</t>
  </si>
  <si>
    <t>belch</t>
  </si>
  <si>
    <t>dutch</t>
  </si>
  <si>
    <t>tweed</t>
  </si>
  <si>
    <t>comet</t>
  </si>
  <si>
    <t>jaunt</t>
  </si>
  <si>
    <t>enema</t>
  </si>
  <si>
    <t>steed</t>
  </si>
  <si>
    <t>abyss</t>
  </si>
  <si>
    <t>growl</t>
  </si>
  <si>
    <t>fling</t>
  </si>
  <si>
    <t>boozy</t>
  </si>
  <si>
    <t>erode</t>
  </si>
  <si>
    <t>gouge</t>
  </si>
  <si>
    <t>click</t>
  </si>
  <si>
    <t>briar</t>
  </si>
  <si>
    <t>altar</t>
  </si>
  <si>
    <t>pulpy</t>
  </si>
  <si>
    <t>blurt</t>
  </si>
  <si>
    <t>duchy</t>
  </si>
  <si>
    <t>groin</t>
  </si>
  <si>
    <t>fixer</t>
  </si>
  <si>
    <t>rogue</t>
  </si>
  <si>
    <t>pithy</t>
  </si>
  <si>
    <t>gaudy</t>
  </si>
  <si>
    <t>chill</t>
  </si>
  <si>
    <t>heron</t>
  </si>
  <si>
    <t>vodka</t>
  </si>
  <si>
    <t>finer</t>
  </si>
  <si>
    <t>surer</t>
  </si>
  <si>
    <t>rouge</t>
  </si>
  <si>
    <t>perch</t>
  </si>
  <si>
    <t>retch</t>
  </si>
  <si>
    <t>wrote</t>
  </si>
  <si>
    <t>tilde</t>
  </si>
  <si>
    <t>cheat</t>
  </si>
  <si>
    <t>grime</t>
  </si>
  <si>
    <t>exult</t>
  </si>
  <si>
    <t>usher</t>
  </si>
  <si>
    <t>epoch</t>
  </si>
  <si>
    <t>triad</t>
  </si>
  <si>
    <t>rhino</t>
  </si>
  <si>
    <t>viral</t>
  </si>
  <si>
    <t>conic</t>
  </si>
  <si>
    <t>masse</t>
  </si>
  <si>
    <t>sonic</t>
  </si>
  <si>
    <t>using</t>
  </si>
  <si>
    <t>peach</t>
  </si>
  <si>
    <t>champ</t>
  </si>
  <si>
    <t>baton</t>
  </si>
  <si>
    <t>brake</t>
  </si>
  <si>
    <t>pluck</t>
  </si>
  <si>
    <t>craze</t>
  </si>
  <si>
    <t>gripe</t>
  </si>
  <si>
    <t>weary</t>
  </si>
  <si>
    <t>picky</t>
  </si>
  <si>
    <t>acute</t>
  </si>
  <si>
    <t>ferry</t>
  </si>
  <si>
    <t>tapir</t>
  </si>
  <si>
    <t>troll</t>
  </si>
  <si>
    <t>unify</t>
  </si>
  <si>
    <t>rebus</t>
  </si>
  <si>
    <t>boost</t>
  </si>
  <si>
    <t>truss</t>
  </si>
  <si>
    <t>siege</t>
  </si>
  <si>
    <t>tiger</t>
  </si>
  <si>
    <t>banal</t>
  </si>
  <si>
    <t>slump</t>
  </si>
  <si>
    <t>crank</t>
  </si>
  <si>
    <t>gorge</t>
  </si>
  <si>
    <t>query</t>
  </si>
  <si>
    <t>abbey</t>
  </si>
  <si>
    <t>tangy</t>
  </si>
  <si>
    <t>panic</t>
  </si>
  <si>
    <t>shire</t>
  </si>
  <si>
    <t>proxy</t>
  </si>
  <si>
    <t>robot</t>
  </si>
  <si>
    <t>prick</t>
  </si>
  <si>
    <t>wince</t>
  </si>
  <si>
    <t>crimp</t>
  </si>
  <si>
    <t>knoll</t>
  </si>
  <si>
    <t>whack</t>
  </si>
  <si>
    <t>perky</t>
  </si>
  <si>
    <t>wrung</t>
  </si>
  <si>
    <t>moist</t>
  </si>
  <si>
    <t>shard</t>
  </si>
  <si>
    <t>pleat</t>
  </si>
  <si>
    <t>aloft</t>
  </si>
  <si>
    <t>elder</t>
  </si>
  <si>
    <t>ulcer</t>
  </si>
  <si>
    <t>ultra</t>
  </si>
  <si>
    <t>robin</t>
  </si>
  <si>
    <t>cynic</t>
  </si>
  <si>
    <t>agora</t>
  </si>
  <si>
    <t>aroma</t>
  </si>
  <si>
    <t>caulk</t>
  </si>
  <si>
    <t>pupal</t>
  </si>
  <si>
    <t>dodge</t>
  </si>
  <si>
    <t>swill</t>
  </si>
  <si>
    <t>tacit</t>
  </si>
  <si>
    <t>thorn</t>
  </si>
  <si>
    <t>trove</t>
  </si>
  <si>
    <t>bloke</t>
  </si>
  <si>
    <t>vivid</t>
  </si>
  <si>
    <t>spill</t>
  </si>
  <si>
    <t>chant</t>
  </si>
  <si>
    <t>choke</t>
  </si>
  <si>
    <t>rupee</t>
  </si>
  <si>
    <t>nasty</t>
  </si>
  <si>
    <t>mourn</t>
  </si>
  <si>
    <t>brine</t>
  </si>
  <si>
    <t>cloth</t>
  </si>
  <si>
    <t>hoard</t>
  </si>
  <si>
    <t>lapse</t>
  </si>
  <si>
    <t>smelt</t>
  </si>
  <si>
    <t>tease</t>
  </si>
  <si>
    <t>cater</t>
  </si>
  <si>
    <t>lynch</t>
  </si>
  <si>
    <t>saute</t>
  </si>
  <si>
    <t>renew</t>
  </si>
  <si>
    <t>slosh</t>
  </si>
  <si>
    <t>purge</t>
  </si>
  <si>
    <t>depot</t>
  </si>
  <si>
    <t>epoxy</t>
  </si>
  <si>
    <t>nymph</t>
  </si>
  <si>
    <t>harry</t>
  </si>
  <si>
    <t>stove</t>
  </si>
  <si>
    <t>lowly</t>
  </si>
  <si>
    <t>snout</t>
  </si>
  <si>
    <t>trope</t>
  </si>
  <si>
    <t>shawl</t>
  </si>
  <si>
    <t>natal</t>
  </si>
  <si>
    <t>fibre</t>
  </si>
  <si>
    <t>comma</t>
  </si>
  <si>
    <t>foray</t>
  </si>
  <si>
    <t>scare</t>
  </si>
  <si>
    <t>squad</t>
  </si>
  <si>
    <t>royal</t>
  </si>
  <si>
    <t>chunk</t>
  </si>
  <si>
    <t>mince</t>
  </si>
  <si>
    <t>shame</t>
  </si>
  <si>
    <t>ample</t>
  </si>
  <si>
    <t>flair</t>
  </si>
  <si>
    <t>foyer</t>
  </si>
  <si>
    <t>cargo</t>
  </si>
  <si>
    <t>oxide</t>
  </si>
  <si>
    <t>olive</t>
  </si>
  <si>
    <t>inert</t>
  </si>
  <si>
    <t>askew</t>
  </si>
  <si>
    <t>heist</t>
  </si>
  <si>
    <t>shown</t>
  </si>
  <si>
    <t>zesty</t>
  </si>
  <si>
    <t>hasty</t>
  </si>
  <si>
    <t>trash</t>
  </si>
  <si>
    <t>fella</t>
  </si>
  <si>
    <t>larva</t>
  </si>
  <si>
    <t>forgo</t>
  </si>
  <si>
    <t>hairy</t>
  </si>
  <si>
    <t>homer</t>
  </si>
  <si>
    <t>badge</t>
  </si>
  <si>
    <t>midst</t>
  </si>
  <si>
    <t>canny</t>
  </si>
  <si>
    <t>fetus</t>
  </si>
  <si>
    <t>butch</t>
  </si>
  <si>
    <t>farce</t>
  </si>
  <si>
    <t>slung</t>
  </si>
  <si>
    <t>tipsy</t>
  </si>
  <si>
    <t>delve</t>
  </si>
  <si>
    <t>scour</t>
  </si>
  <si>
    <t>gamer</t>
  </si>
  <si>
    <t>scrap</t>
  </si>
  <si>
    <t>hinge</t>
  </si>
  <si>
    <t>vouch</t>
  </si>
  <si>
    <t>tiara</t>
  </si>
  <si>
    <t>crept</t>
  </si>
  <si>
    <t>bayou</t>
  </si>
  <si>
    <t>atoll</t>
  </si>
  <si>
    <t>manor</t>
  </si>
  <si>
    <t>creak</t>
  </si>
  <si>
    <t>showy</t>
  </si>
  <si>
    <t>froth</t>
  </si>
  <si>
    <t>gloom</t>
  </si>
  <si>
    <t>flood</t>
  </si>
  <si>
    <t>trait</t>
  </si>
  <si>
    <t>girth</t>
  </si>
  <si>
    <t>piety</t>
  </si>
  <si>
    <t>payer</t>
  </si>
  <si>
    <t>goose</t>
  </si>
  <si>
    <t>donor</t>
  </si>
  <si>
    <t>atone</t>
  </si>
  <si>
    <t>primo</t>
  </si>
  <si>
    <t>apron</t>
  </si>
  <si>
    <t>blown</t>
  </si>
  <si>
    <t>cacao</t>
  </si>
  <si>
    <t>loser</t>
  </si>
  <si>
    <t>input</t>
  </si>
  <si>
    <t>gloat</t>
  </si>
  <si>
    <t>brink</t>
  </si>
  <si>
    <t>smite</t>
  </si>
  <si>
    <t>beady</t>
  </si>
  <si>
    <t>rusty</t>
  </si>
  <si>
    <t>retro</t>
  </si>
  <si>
    <t>droll</t>
  </si>
  <si>
    <t>gawky</t>
  </si>
  <si>
    <t>hutch</t>
  </si>
  <si>
    <t>pinto</t>
  </si>
  <si>
    <t>gaily</t>
  </si>
  <si>
    <t>egret</t>
  </si>
  <si>
    <t>lilac</t>
  </si>
  <si>
    <t>sever</t>
  </si>
  <si>
    <t>fluff</t>
  </si>
  <si>
    <t>hydro</t>
  </si>
  <si>
    <t>flack</t>
  </si>
  <si>
    <t>agape</t>
  </si>
  <si>
    <t>wench</t>
  </si>
  <si>
    <t>stead</t>
  </si>
  <si>
    <t>stalk</t>
  </si>
  <si>
    <t>berth</t>
  </si>
  <si>
    <t>madam</t>
  </si>
  <si>
    <t>bland</t>
  </si>
  <si>
    <t>liver</t>
  </si>
  <si>
    <t>wedge</t>
  </si>
  <si>
    <t>augur</t>
  </si>
  <si>
    <t>roomy</t>
  </si>
  <si>
    <t>wacky</t>
  </si>
  <si>
    <t>flock</t>
  </si>
  <si>
    <t>bobby</t>
  </si>
  <si>
    <t>trite</t>
  </si>
  <si>
    <t>aphid</t>
  </si>
  <si>
    <t>tryst</t>
  </si>
  <si>
    <t>midge</t>
  </si>
  <si>
    <t>elope</t>
  </si>
  <si>
    <t>cinch</t>
  </si>
  <si>
    <t>motto</t>
  </si>
  <si>
    <t>stomp</t>
  </si>
  <si>
    <t>upset</t>
  </si>
  <si>
    <t>bluff</t>
  </si>
  <si>
    <t>cramp</t>
  </si>
  <si>
    <t>quart</t>
  </si>
  <si>
    <t>coyly</t>
  </si>
  <si>
    <t>rhyme</t>
  </si>
  <si>
    <t>buggy</t>
  </si>
  <si>
    <t>alien</t>
  </si>
  <si>
    <t>smear</t>
  </si>
  <si>
    <t>unfit</t>
  </si>
  <si>
    <t>patty</t>
  </si>
  <si>
    <t>cling</t>
  </si>
  <si>
    <t>glean</t>
  </si>
  <si>
    <t>hunky</t>
  </si>
  <si>
    <t>khaki</t>
  </si>
  <si>
    <t>poker</t>
  </si>
  <si>
    <t>gruel</t>
  </si>
  <si>
    <t>twang</t>
  </si>
  <si>
    <t>unlit</t>
  </si>
  <si>
    <t>merit</t>
  </si>
  <si>
    <t>woven</t>
  </si>
  <si>
    <t>octal</t>
  </si>
  <si>
    <t>needy</t>
  </si>
  <si>
    <t>clown</t>
  </si>
  <si>
    <t>widow</t>
  </si>
  <si>
    <t>irony</t>
  </si>
  <si>
    <t>ruder</t>
  </si>
  <si>
    <t>gauze</t>
  </si>
  <si>
    <t>onset</t>
  </si>
  <si>
    <t>prize</t>
  </si>
  <si>
    <t>fungi</t>
  </si>
  <si>
    <t>charm</t>
  </si>
  <si>
    <t>gully</t>
  </si>
  <si>
    <t>inter</t>
  </si>
  <si>
    <t>whoop</t>
  </si>
  <si>
    <t>taunt</t>
  </si>
  <si>
    <t>leery</t>
  </si>
  <si>
    <t>lofty</t>
  </si>
  <si>
    <t>tibia</t>
  </si>
  <si>
    <t>booze</t>
  </si>
  <si>
    <t>alpha</t>
  </si>
  <si>
    <t>thyme</t>
  </si>
  <si>
    <t>eclat</t>
  </si>
  <si>
    <t>parer</t>
  </si>
  <si>
    <t>chute</t>
  </si>
  <si>
    <t>trice</t>
  </si>
  <si>
    <t>alike</t>
  </si>
  <si>
    <t>sooth</t>
  </si>
  <si>
    <t>recap</t>
  </si>
  <si>
    <t>saint</t>
  </si>
  <si>
    <t>liege</t>
  </si>
  <si>
    <t>glory</t>
  </si>
  <si>
    <t>grate</t>
  </si>
  <si>
    <t>brisk</t>
  </si>
  <si>
    <t>soggy</t>
  </si>
  <si>
    <t>usurp</t>
  </si>
  <si>
    <t>scald</t>
  </si>
  <si>
    <t>scorn</t>
  </si>
  <si>
    <t>twine</t>
  </si>
  <si>
    <t>sting</t>
  </si>
  <si>
    <t>bough</t>
  </si>
  <si>
    <t>marsh</t>
  </si>
  <si>
    <t>sloth</t>
  </si>
  <si>
    <t>dandy</t>
  </si>
  <si>
    <t>vigor</t>
  </si>
  <si>
    <t>howdy</t>
  </si>
  <si>
    <t>valid</t>
  </si>
  <si>
    <t>ionic</t>
  </si>
  <si>
    <t>unset</t>
  </si>
  <si>
    <t>spade</t>
  </si>
  <si>
    <t>stein</t>
  </si>
  <si>
    <t>quirk</t>
  </si>
  <si>
    <t>denim</t>
  </si>
  <si>
    <t>grove</t>
  </si>
  <si>
    <t>spiel</t>
  </si>
  <si>
    <t>mummy</t>
  </si>
  <si>
    <t>foggy</t>
  </si>
  <si>
    <t>flout</t>
  </si>
  <si>
    <t>sneak</t>
  </si>
  <si>
    <t>libel</t>
  </si>
  <si>
    <t>waltz</t>
  </si>
  <si>
    <t>aptly</t>
  </si>
  <si>
    <t>piney</t>
  </si>
  <si>
    <t>inept</t>
  </si>
  <si>
    <t>aloud</t>
  </si>
  <si>
    <t>stale</t>
  </si>
  <si>
    <t>vomit</t>
  </si>
  <si>
    <t>ombre</t>
  </si>
  <si>
    <t>fanny</t>
  </si>
  <si>
    <t>unite</t>
  </si>
  <si>
    <t>snarl</t>
  </si>
  <si>
    <t>baker</t>
  </si>
  <si>
    <t>glyph</t>
  </si>
  <si>
    <t>pooch</t>
  </si>
  <si>
    <t>hippy</t>
  </si>
  <si>
    <t>spell</t>
  </si>
  <si>
    <t>folly</t>
  </si>
  <si>
    <t>louse</t>
  </si>
  <si>
    <t>gulch</t>
  </si>
  <si>
    <t>vault</t>
  </si>
  <si>
    <t>godly</t>
  </si>
  <si>
    <t>threw</t>
  </si>
  <si>
    <t>fleet</t>
  </si>
  <si>
    <t>inane</t>
  </si>
  <si>
    <t>crave</t>
  </si>
  <si>
    <t>spite</t>
  </si>
  <si>
    <t>valve</t>
  </si>
  <si>
    <t>skimp</t>
  </si>
  <si>
    <t>rainy</t>
  </si>
  <si>
    <t>musty</t>
  </si>
  <si>
    <t>pique</t>
  </si>
  <si>
    <t>daddy</t>
  </si>
  <si>
    <t>quasi</t>
  </si>
  <si>
    <t>aging</t>
  </si>
  <si>
    <t>valet</t>
  </si>
  <si>
    <t>opium</t>
  </si>
  <si>
    <t>avert</t>
  </si>
  <si>
    <t>stuck</t>
  </si>
  <si>
    <t>recut</t>
  </si>
  <si>
    <t>mulch</t>
  </si>
  <si>
    <t>genre</t>
  </si>
  <si>
    <t>plume</t>
  </si>
  <si>
    <t>incur</t>
  </si>
  <si>
    <t>wrest</t>
  </si>
  <si>
    <t>mocha</t>
  </si>
  <si>
    <t>deter</t>
  </si>
  <si>
    <t>safer</t>
  </si>
  <si>
    <t>rivet</t>
  </si>
  <si>
    <t>mound</t>
  </si>
  <si>
    <t>undue</t>
  </si>
  <si>
    <t>sedan</t>
  </si>
  <si>
    <t>pagan</t>
  </si>
  <si>
    <t>swine</t>
  </si>
  <si>
    <t>guile</t>
  </si>
  <si>
    <t>gusty</t>
  </si>
  <si>
    <t>equip</t>
  </si>
  <si>
    <t>canoe</t>
  </si>
  <si>
    <t>chaos</t>
  </si>
  <si>
    <t>covet</t>
  </si>
  <si>
    <t>udder</t>
  </si>
  <si>
    <t>blast</t>
  </si>
  <si>
    <t>stray</t>
  </si>
  <si>
    <t>manga</t>
  </si>
  <si>
    <t>melee</t>
  </si>
  <si>
    <t>lefty</t>
  </si>
  <si>
    <t>paste</t>
  </si>
  <si>
    <t>octet</t>
  </si>
  <si>
    <t>risen</t>
  </si>
  <si>
    <t>groan</t>
  </si>
  <si>
    <t>leaky</t>
  </si>
  <si>
    <t>grind</t>
  </si>
  <si>
    <t>carve</t>
  </si>
  <si>
    <t>sadly</t>
  </si>
  <si>
    <t>spilt</t>
  </si>
  <si>
    <t>slack</t>
  </si>
  <si>
    <t>sheen</t>
  </si>
  <si>
    <t>eerie</t>
  </si>
  <si>
    <t>minty</t>
  </si>
  <si>
    <t>slick</t>
  </si>
  <si>
    <t>derby</t>
  </si>
  <si>
    <t>wharf</t>
  </si>
  <si>
    <t>spelt</t>
  </si>
  <si>
    <t>erupt</t>
  </si>
  <si>
    <t>singe</t>
  </si>
  <si>
    <t>spawn</t>
  </si>
  <si>
    <t>fairy</t>
  </si>
  <si>
    <t>jiffy</t>
  </si>
  <si>
    <t>filmy</t>
  </si>
  <si>
    <t>stack</t>
  </si>
  <si>
    <t>chose</t>
  </si>
  <si>
    <t>ardor</t>
  </si>
  <si>
    <t>nanny</t>
  </si>
  <si>
    <t>niece</t>
  </si>
  <si>
    <t>woozy</t>
  </si>
  <si>
    <t>handy</t>
  </si>
  <si>
    <t>grace</t>
  </si>
  <si>
    <t>ditto</t>
  </si>
  <si>
    <t>stank</t>
  </si>
  <si>
    <t>diode</t>
  </si>
  <si>
    <t>valor</t>
  </si>
  <si>
    <t>ninja</t>
  </si>
  <si>
    <t>muddy</t>
  </si>
  <si>
    <t>prone</t>
  </si>
  <si>
    <t>spoil</t>
  </si>
  <si>
    <t>diner</t>
  </si>
  <si>
    <t>arson</t>
  </si>
  <si>
    <t>sleet</t>
  </si>
  <si>
    <t>dowel</t>
  </si>
  <si>
    <t>palsy</t>
  </si>
  <si>
    <t>bowel</t>
  </si>
  <si>
    <t>evoke</t>
  </si>
  <si>
    <t>creek</t>
  </si>
  <si>
    <t>lance</t>
  </si>
  <si>
    <t>eagle</t>
  </si>
  <si>
    <t>idiot</t>
  </si>
  <si>
    <t>siren</t>
  </si>
  <si>
    <t>built</t>
  </si>
  <si>
    <t>embed</t>
  </si>
  <si>
    <t>dross</t>
  </si>
  <si>
    <t>annul</t>
  </si>
  <si>
    <t>goody</t>
  </si>
  <si>
    <t>frown</t>
  </si>
  <si>
    <t>patio</t>
  </si>
  <si>
    <t>laden</t>
  </si>
  <si>
    <t>humid</t>
  </si>
  <si>
    <t>lymph</t>
  </si>
  <si>
    <t>edify</t>
  </si>
  <si>
    <t>reset</t>
  </si>
  <si>
    <t>gusto</t>
  </si>
  <si>
    <t>purse</t>
  </si>
  <si>
    <t>vapor</t>
  </si>
  <si>
    <t>crock</t>
  </si>
  <si>
    <t>sunny</t>
  </si>
  <si>
    <t>loath</t>
  </si>
  <si>
    <t>chaff</t>
  </si>
  <si>
    <t>queer</t>
  </si>
  <si>
    <t>venom</t>
  </si>
  <si>
    <t>stamp</t>
  </si>
  <si>
    <t>acorn</t>
  </si>
  <si>
    <t>aping</t>
  </si>
  <si>
    <t>pushy</t>
  </si>
  <si>
    <t>tamer</t>
  </si>
  <si>
    <t>hater</t>
  </si>
  <si>
    <t>mania</t>
  </si>
  <si>
    <t>awoke</t>
  </si>
  <si>
    <t>brawn</t>
  </si>
  <si>
    <t>swift</t>
  </si>
  <si>
    <t>exile</t>
  </si>
  <si>
    <t>birch</t>
  </si>
  <si>
    <t>freer</t>
  </si>
  <si>
    <t>risky</t>
  </si>
  <si>
    <t>plier</t>
  </si>
  <si>
    <t>lunar</t>
  </si>
  <si>
    <t>winch</t>
  </si>
  <si>
    <t>snare</t>
  </si>
  <si>
    <t>borax</t>
  </si>
  <si>
    <t>nicer</t>
  </si>
  <si>
    <t>lurch</t>
  </si>
  <si>
    <t>exalt</t>
  </si>
  <si>
    <t>savvy</t>
  </si>
  <si>
    <t>toxin</t>
  </si>
  <si>
    <t>tunic</t>
  </si>
  <si>
    <t>pried</t>
  </si>
  <si>
    <t>inlay</t>
  </si>
  <si>
    <t>chump</t>
  </si>
  <si>
    <t>lanky</t>
  </si>
  <si>
    <t>cress</t>
  </si>
  <si>
    <t>eater</t>
  </si>
  <si>
    <t>elude</t>
  </si>
  <si>
    <t>kitty</t>
  </si>
  <si>
    <t>boule</t>
  </si>
  <si>
    <t>moron</t>
  </si>
  <si>
    <t>tenet</t>
  </si>
  <si>
    <t>lobby</t>
  </si>
  <si>
    <t>plush</t>
  </si>
  <si>
    <t>vigil</t>
  </si>
  <si>
    <t>blink</t>
  </si>
  <si>
    <t>clung</t>
  </si>
  <si>
    <t>qualm</t>
  </si>
  <si>
    <t>croup</t>
  </si>
  <si>
    <t>clink</t>
  </si>
  <si>
    <t>juicy</t>
  </si>
  <si>
    <t>decay</t>
  </si>
  <si>
    <t>flier</t>
  </si>
  <si>
    <t>shaft</t>
  </si>
  <si>
    <t>crook</t>
  </si>
  <si>
    <t>china</t>
  </si>
  <si>
    <t>ridge</t>
  </si>
  <si>
    <t>vowel</t>
  </si>
  <si>
    <t>gnome</t>
  </si>
  <si>
    <t>snuck</t>
  </si>
  <si>
    <t>icing</t>
  </si>
  <si>
    <t>spiny</t>
  </si>
  <si>
    <t>rigor</t>
  </si>
  <si>
    <t>snail</t>
  </si>
  <si>
    <t>flown</t>
  </si>
  <si>
    <t>rabid</t>
  </si>
  <si>
    <t>prose</t>
  </si>
  <si>
    <t>poppy</t>
  </si>
  <si>
    <t>budge</t>
  </si>
  <si>
    <t>moldy</t>
  </si>
  <si>
    <t>dowdy</t>
  </si>
  <si>
    <t>kneel</t>
  </si>
  <si>
    <t>caddy</t>
  </si>
  <si>
    <t>quell</t>
  </si>
  <si>
    <t>dumpy</t>
  </si>
  <si>
    <t>paler</t>
  </si>
  <si>
    <t>swore</t>
  </si>
  <si>
    <t>rebar</t>
  </si>
  <si>
    <t>scuba</t>
  </si>
  <si>
    <t>splat</t>
  </si>
  <si>
    <t>flyer</t>
  </si>
  <si>
    <t>horny</t>
  </si>
  <si>
    <t>mason</t>
  </si>
  <si>
    <t>doing</t>
  </si>
  <si>
    <t>ozone</t>
  </si>
  <si>
    <t>amply</t>
  </si>
  <si>
    <t>molar</t>
  </si>
  <si>
    <t>ovary</t>
  </si>
  <si>
    <t>beset</t>
  </si>
  <si>
    <t>queue</t>
  </si>
  <si>
    <t>cliff</t>
  </si>
  <si>
    <t>magic</t>
  </si>
  <si>
    <t>truce</t>
  </si>
  <si>
    <t>fritz</t>
  </si>
  <si>
    <t>edict</t>
  </si>
  <si>
    <t>twirl</t>
  </si>
  <si>
    <t>verse</t>
  </si>
  <si>
    <t>llama</t>
  </si>
  <si>
    <t>eaten</t>
  </si>
  <si>
    <t>whisk</t>
  </si>
  <si>
    <t>hovel</t>
  </si>
  <si>
    <t>rehab</t>
  </si>
  <si>
    <t>macaw</t>
  </si>
  <si>
    <t>sigma</t>
  </si>
  <si>
    <t>spout</t>
  </si>
  <si>
    <t>verve</t>
  </si>
  <si>
    <t>sushi</t>
  </si>
  <si>
    <t>dying</t>
  </si>
  <si>
    <t>fetid</t>
  </si>
  <si>
    <t>buddy</t>
  </si>
  <si>
    <t>thump</t>
  </si>
  <si>
    <t>scion</t>
  </si>
  <si>
    <t>candy</t>
  </si>
  <si>
    <t>chord</t>
  </si>
  <si>
    <t>basin</t>
  </si>
  <si>
    <t>march</t>
  </si>
  <si>
    <t>arbor</t>
  </si>
  <si>
    <t>gayly</t>
  </si>
  <si>
    <t>musky</t>
  </si>
  <si>
    <t>stain</t>
  </si>
  <si>
    <t>dally</t>
  </si>
  <si>
    <t>bless</t>
  </si>
  <si>
    <t>bravo</t>
  </si>
  <si>
    <t>stung</t>
  </si>
  <si>
    <t>ruler</t>
  </si>
  <si>
    <t>kiosk</t>
  </si>
  <si>
    <t>blond</t>
  </si>
  <si>
    <t>ennui</t>
  </si>
  <si>
    <t>fluid</t>
  </si>
  <si>
    <t>tatty</t>
  </si>
  <si>
    <t>cutie</t>
  </si>
  <si>
    <t>zebra</t>
  </si>
  <si>
    <t>barge</t>
  </si>
  <si>
    <t>matey</t>
  </si>
  <si>
    <t>bluer</t>
  </si>
  <si>
    <t>aider</t>
  </si>
  <si>
    <t>shook</t>
  </si>
  <si>
    <t>privy</t>
  </si>
  <si>
    <t>betel</t>
  </si>
  <si>
    <t>frisk</t>
  </si>
  <si>
    <t>bongo</t>
  </si>
  <si>
    <t>begun</t>
  </si>
  <si>
    <t>azure</t>
  </si>
  <si>
    <t>weave</t>
  </si>
  <si>
    <t>genie</t>
  </si>
  <si>
    <t>braid</t>
  </si>
  <si>
    <t>wryly</t>
  </si>
  <si>
    <t>rover</t>
  </si>
  <si>
    <t>assay</t>
  </si>
  <si>
    <t>bloom</t>
  </si>
  <si>
    <t>irate</t>
  </si>
  <si>
    <t>woken</t>
  </si>
  <si>
    <t>silky</t>
  </si>
  <si>
    <t>wreck</t>
  </si>
  <si>
    <t>dwelt</t>
  </si>
  <si>
    <t>slate</t>
  </si>
  <si>
    <t>smack</t>
  </si>
  <si>
    <t>amaze</t>
  </si>
  <si>
    <t>hazel</t>
  </si>
  <si>
    <t>wrist</t>
  </si>
  <si>
    <t>jolly</t>
  </si>
  <si>
    <t>globe</t>
  </si>
  <si>
    <t>flint</t>
  </si>
  <si>
    <t>rouse</t>
  </si>
  <si>
    <t>vista</t>
  </si>
  <si>
    <t>beech</t>
  </si>
  <si>
    <t>jetty</t>
  </si>
  <si>
    <t>bliss</t>
  </si>
  <si>
    <t>vocal</t>
  </si>
  <si>
    <t>dolly</t>
  </si>
  <si>
    <t>joker</t>
  </si>
  <si>
    <t>ensue</t>
  </si>
  <si>
    <t>shunt</t>
  </si>
  <si>
    <t>diver</t>
  </si>
  <si>
    <t>poser</t>
  </si>
  <si>
    <t>worst</t>
  </si>
  <si>
    <t>alley</t>
  </si>
  <si>
    <t>creed</t>
  </si>
  <si>
    <t>anime</t>
  </si>
  <si>
    <t>leafy</t>
  </si>
  <si>
    <t>bosom</t>
  </si>
  <si>
    <t>dunce</t>
  </si>
  <si>
    <t>pudgy</t>
  </si>
  <si>
    <t>waive</t>
  </si>
  <si>
    <t>choir</t>
  </si>
  <si>
    <t>stood</t>
  </si>
  <si>
    <t>spoke</t>
  </si>
  <si>
    <t>outgo</t>
  </si>
  <si>
    <t>bilge</t>
  </si>
  <si>
    <t>clasp</t>
  </si>
  <si>
    <t>hotly</t>
  </si>
  <si>
    <t>sieve</t>
  </si>
  <si>
    <t>meant</t>
  </si>
  <si>
    <t>grape</t>
  </si>
  <si>
    <t>noose</t>
  </si>
  <si>
    <t>hardy</t>
  </si>
  <si>
    <t>shied</t>
  </si>
  <si>
    <t>drawl</t>
  </si>
  <si>
    <t>daisy</t>
  </si>
  <si>
    <t>putty</t>
  </si>
  <si>
    <t>strut</t>
  </si>
  <si>
    <t>burnt</t>
  </si>
  <si>
    <t>tulip</t>
  </si>
  <si>
    <t>crick</t>
  </si>
  <si>
    <t>idyll</t>
  </si>
  <si>
    <t>vixen</t>
  </si>
  <si>
    <t>furor</t>
  </si>
  <si>
    <t>geeky</t>
  </si>
  <si>
    <t>cough</t>
  </si>
  <si>
    <t>naive</t>
  </si>
  <si>
    <t>shoal</t>
  </si>
  <si>
    <t>stork</t>
  </si>
  <si>
    <t>bathe</t>
  </si>
  <si>
    <t>aunty</t>
  </si>
  <si>
    <t>brass</t>
  </si>
  <si>
    <t>outer</t>
  </si>
  <si>
    <t>furry</t>
  </si>
  <si>
    <t>razor</t>
  </si>
  <si>
    <t>evict</t>
  </si>
  <si>
    <t>demur</t>
  </si>
  <si>
    <t>quota</t>
  </si>
  <si>
    <t>haven</t>
  </si>
  <si>
    <t>cavil</t>
  </si>
  <si>
    <t>crump</t>
  </si>
  <si>
    <t>dough</t>
  </si>
  <si>
    <t>gavel</t>
  </si>
  <si>
    <t>wagon</t>
  </si>
  <si>
    <t>salon</t>
  </si>
  <si>
    <t>nudge</t>
  </si>
  <si>
    <t>harem</t>
  </si>
  <si>
    <t>sworn</t>
  </si>
  <si>
    <t>pupil</t>
  </si>
  <si>
    <t>excel</t>
  </si>
  <si>
    <t>stony</t>
  </si>
  <si>
    <t>unzip</t>
  </si>
  <si>
    <t>queen</t>
  </si>
  <si>
    <t>trout</t>
  </si>
  <si>
    <t>polyp</t>
  </si>
  <si>
    <t>taper</t>
  </si>
  <si>
    <t>fatty</t>
  </si>
  <si>
    <t>husky</t>
  </si>
  <si>
    <t>brave</t>
  </si>
  <si>
    <t>filet</t>
  </si>
  <si>
    <t>slime</t>
  </si>
  <si>
    <t>glint</t>
  </si>
  <si>
    <t>tread</t>
  </si>
  <si>
    <t>regal</t>
  </si>
  <si>
    <t>murky</t>
  </si>
  <si>
    <t>spore</t>
  </si>
  <si>
    <t>hoist</t>
  </si>
  <si>
    <t>buxom</t>
  </si>
  <si>
    <t>otter</t>
  </si>
  <si>
    <t>dimly</t>
  </si>
  <si>
    <t>sumac</t>
  </si>
  <si>
    <t>donut</t>
  </si>
  <si>
    <t>stilt</t>
  </si>
  <si>
    <t>arena</t>
  </si>
  <si>
    <t>scrub</t>
  </si>
  <si>
    <t>fancy</t>
  </si>
  <si>
    <t>slimy</t>
  </si>
  <si>
    <t>pearl</t>
  </si>
  <si>
    <t>silly</t>
  </si>
  <si>
    <t>dingo</t>
  </si>
  <si>
    <t>sepia</t>
  </si>
  <si>
    <t>amble</t>
  </si>
  <si>
    <t>shady</t>
  </si>
  <si>
    <t>friar</t>
  </si>
  <si>
    <t>reign</t>
  </si>
  <si>
    <t>dairy</t>
  </si>
  <si>
    <t>quill</t>
  </si>
  <si>
    <t>brood</t>
  </si>
  <si>
    <t>tuber</t>
  </si>
  <si>
    <t>shear</t>
  </si>
  <si>
    <t>posit</t>
  </si>
  <si>
    <t>blank</t>
  </si>
  <si>
    <t>villa</t>
  </si>
  <si>
    <t>shank</t>
  </si>
  <si>
    <t>piggy</t>
  </si>
  <si>
    <t>freak</t>
  </si>
  <si>
    <t>fecal</t>
  </si>
  <si>
    <t>algae</t>
  </si>
  <si>
    <t>rabbi</t>
  </si>
  <si>
    <t>agony</t>
  </si>
  <si>
    <t>amuse</t>
  </si>
  <si>
    <t>bushy</t>
  </si>
  <si>
    <t>copse</t>
  </si>
  <si>
    <t>swoon</t>
  </si>
  <si>
    <t>pouch</t>
  </si>
  <si>
    <t>ascot</t>
  </si>
  <si>
    <t>crown</t>
  </si>
  <si>
    <t>snide</t>
  </si>
  <si>
    <t>relay</t>
  </si>
  <si>
    <t>abide</t>
  </si>
  <si>
    <t>viola</t>
  </si>
  <si>
    <t>rajah</t>
  </si>
  <si>
    <t>straw</t>
  </si>
  <si>
    <t>dilly</t>
  </si>
  <si>
    <t>amass</t>
  </si>
  <si>
    <t>tutor</t>
  </si>
  <si>
    <t>woody</t>
  </si>
  <si>
    <t>blurb</t>
  </si>
  <si>
    <t>grief</t>
  </si>
  <si>
    <t>disco</t>
  </si>
  <si>
    <t>sassy</t>
  </si>
  <si>
    <t>sauna</t>
  </si>
  <si>
    <t>comic</t>
  </si>
  <si>
    <t>clued</t>
  </si>
  <si>
    <t>creep</t>
  </si>
  <si>
    <t>caste</t>
  </si>
  <si>
    <t>graze</t>
  </si>
  <si>
    <t>snuff</t>
  </si>
  <si>
    <t>frock</t>
  </si>
  <si>
    <t>gonad</t>
  </si>
  <si>
    <t>drunk</t>
  </si>
  <si>
    <t>prong</t>
  </si>
  <si>
    <t>lurid</t>
  </si>
  <si>
    <t>halve</t>
  </si>
  <si>
    <t>vinyl</t>
  </si>
  <si>
    <t>utile</t>
  </si>
  <si>
    <t>adage</t>
  </si>
  <si>
    <t>tasty</t>
  </si>
  <si>
    <t>finch</t>
  </si>
  <si>
    <t>ashen</t>
  </si>
  <si>
    <t>modal</t>
  </si>
  <si>
    <t>gaunt</t>
  </si>
  <si>
    <t>clove</t>
  </si>
  <si>
    <t>enact</t>
  </si>
  <si>
    <t>adorn</t>
  </si>
  <si>
    <t>roast</t>
  </si>
  <si>
    <t>speck</t>
  </si>
  <si>
    <t>sheik</t>
  </si>
  <si>
    <t>missy</t>
  </si>
  <si>
    <t>grunt</t>
  </si>
  <si>
    <t>snoop</t>
  </si>
  <si>
    <t>mafia</t>
  </si>
  <si>
    <t>emcee</t>
  </si>
  <si>
    <t>array</t>
  </si>
  <si>
    <t>vapid</t>
  </si>
  <si>
    <t>jelly</t>
  </si>
  <si>
    <t>skulk</t>
  </si>
  <si>
    <t>angst</t>
  </si>
  <si>
    <t>tubal</t>
  </si>
  <si>
    <t>crest</t>
  </si>
  <si>
    <t>sweat</t>
  </si>
  <si>
    <t>cyber</t>
  </si>
  <si>
    <t>adore</t>
  </si>
  <si>
    <t>tardy</t>
  </si>
  <si>
    <t>swami</t>
  </si>
  <si>
    <t>notch</t>
  </si>
  <si>
    <t>groom</t>
  </si>
  <si>
    <t>roach</t>
  </si>
  <si>
    <t>hitch</t>
  </si>
  <si>
    <t>align</t>
  </si>
  <si>
    <t>frond</t>
  </si>
  <si>
    <t>strap</t>
  </si>
  <si>
    <t>puree</t>
  </si>
  <si>
    <t>realm</t>
  </si>
  <si>
    <t>venue</t>
  </si>
  <si>
    <t>swarm</t>
  </si>
  <si>
    <t>dryer</t>
  </si>
  <si>
    <t>diary</t>
  </si>
  <si>
    <t>dryly</t>
  </si>
  <si>
    <t>drank</t>
  </si>
  <si>
    <t>acrid</t>
  </si>
  <si>
    <t>heady</t>
  </si>
  <si>
    <t>theta</t>
  </si>
  <si>
    <t>junto</t>
  </si>
  <si>
    <t>pixie</t>
  </si>
  <si>
    <t>quoth</t>
  </si>
  <si>
    <t>bonus</t>
  </si>
  <si>
    <t>shalt</t>
  </si>
  <si>
    <t>penne</t>
  </si>
  <si>
    <t>amend</t>
  </si>
  <si>
    <t>datum</t>
  </si>
  <si>
    <t>lodge</t>
  </si>
  <si>
    <t>suing</t>
  </si>
  <si>
    <t>rearm</t>
  </si>
  <si>
    <t>coral</t>
  </si>
  <si>
    <t>ramen</t>
  </si>
  <si>
    <t>psalm</t>
  </si>
  <si>
    <t>infer</t>
  </si>
  <si>
    <t>overt</t>
  </si>
  <si>
    <t>ovoid</t>
  </si>
  <si>
    <t>glide</t>
  </si>
  <si>
    <t>usage</t>
  </si>
  <si>
    <t>poise</t>
  </si>
  <si>
    <t>randy</t>
  </si>
  <si>
    <t>chuck</t>
  </si>
  <si>
    <t>prank</t>
  </si>
  <si>
    <t>fishy</t>
  </si>
  <si>
    <t>ether</t>
  </si>
  <si>
    <t>drove</t>
  </si>
  <si>
    <t>idler</t>
  </si>
  <si>
    <t>swath</t>
  </si>
  <si>
    <t>stint</t>
  </si>
  <si>
    <t>begat</t>
  </si>
  <si>
    <t>slang</t>
  </si>
  <si>
    <t>tarot</t>
  </si>
  <si>
    <t>radar</t>
  </si>
  <si>
    <t>credo</t>
  </si>
  <si>
    <t>canon</t>
  </si>
  <si>
    <t>timer</t>
  </si>
  <si>
    <t>bylaw</t>
  </si>
  <si>
    <t>serum</t>
  </si>
  <si>
    <t>steak</t>
  </si>
  <si>
    <t>iliac</t>
  </si>
  <si>
    <t>shirk</t>
  </si>
  <si>
    <t>blunt</t>
  </si>
  <si>
    <t>puppy</t>
  </si>
  <si>
    <t>penal</t>
  </si>
  <si>
    <t>joist</t>
  </si>
  <si>
    <t>bunny</t>
  </si>
  <si>
    <t>beget</t>
  </si>
  <si>
    <t>adept</t>
  </si>
  <si>
    <t>stunt</t>
  </si>
  <si>
    <t>stole</t>
  </si>
  <si>
    <t>topaz</t>
  </si>
  <si>
    <t>chore</t>
  </si>
  <si>
    <t>fluke</t>
  </si>
  <si>
    <t>afoot</t>
  </si>
  <si>
    <t>bloat</t>
  </si>
  <si>
    <t>bully</t>
  </si>
  <si>
    <t>dense</t>
  </si>
  <si>
    <t>caper</t>
  </si>
  <si>
    <t>sneer</t>
  </si>
  <si>
    <t>boxer</t>
  </si>
  <si>
    <t>jumbo</t>
  </si>
  <si>
    <t>lunge</t>
  </si>
  <si>
    <t>avail</t>
  </si>
  <si>
    <t>slurp</t>
  </si>
  <si>
    <t>loyal</t>
  </si>
  <si>
    <t>flirt</t>
  </si>
  <si>
    <t>pizza</t>
  </si>
  <si>
    <t>conch</t>
  </si>
  <si>
    <t>tempo</t>
  </si>
  <si>
    <t>droop</t>
  </si>
  <si>
    <t>bible</t>
  </si>
  <si>
    <t>plunk</t>
  </si>
  <si>
    <t>afoul</t>
  </si>
  <si>
    <t>savoy</t>
  </si>
  <si>
    <t>steep</t>
  </si>
  <si>
    <t>agile</t>
  </si>
  <si>
    <t>dwell</t>
  </si>
  <si>
    <t>knave</t>
  </si>
  <si>
    <t>beard</t>
  </si>
  <si>
    <t>arose</t>
  </si>
  <si>
    <t>motif</t>
  </si>
  <si>
    <t>smash</t>
  </si>
  <si>
    <t>broil</t>
  </si>
  <si>
    <t>glare</t>
  </si>
  <si>
    <t>shove</t>
  </si>
  <si>
    <t>baggy</t>
  </si>
  <si>
    <t>mammy</t>
  </si>
  <si>
    <t>swamp</t>
  </si>
  <si>
    <t>rugby</t>
  </si>
  <si>
    <t>wager</t>
  </si>
  <si>
    <t>quack</t>
  </si>
  <si>
    <t>squat</t>
  </si>
  <si>
    <t>snaky</t>
  </si>
  <si>
    <t>debit</t>
  </si>
  <si>
    <t>mange</t>
  </si>
  <si>
    <t>skate</t>
  </si>
  <si>
    <t>ninth</t>
  </si>
  <si>
    <t>joust</t>
  </si>
  <si>
    <t>tramp</t>
  </si>
  <si>
    <t>spurn</t>
  </si>
  <si>
    <t>medal</t>
  </si>
  <si>
    <t>micro</t>
  </si>
  <si>
    <t>rebel</t>
  </si>
  <si>
    <t>flank</t>
  </si>
  <si>
    <t>nadir</t>
  </si>
  <si>
    <t>maple</t>
  </si>
  <si>
    <t>comfy</t>
  </si>
  <si>
    <t>remit</t>
  </si>
  <si>
    <t>gruff</t>
  </si>
  <si>
    <t>ester</t>
  </si>
  <si>
    <t>mogul</t>
  </si>
  <si>
    <t>fetch</t>
  </si>
  <si>
    <t>oaken</t>
  </si>
  <si>
    <t>aglow</t>
  </si>
  <si>
    <t>meaty</t>
  </si>
  <si>
    <t>gaffe</t>
  </si>
  <si>
    <t>shyly</t>
  </si>
  <si>
    <t>racer</t>
  </si>
  <si>
    <t>prowl</t>
  </si>
  <si>
    <t>thief</t>
  </si>
  <si>
    <t>stern</t>
  </si>
  <si>
    <t>poesy</t>
  </si>
  <si>
    <t>rocky</t>
  </si>
  <si>
    <t>tweet</t>
  </si>
  <si>
    <t>waist</t>
  </si>
  <si>
    <t>spire</t>
  </si>
  <si>
    <t>grope</t>
  </si>
  <si>
    <t>havoc</t>
  </si>
  <si>
    <t>patsy</t>
  </si>
  <si>
    <t>forty</t>
  </si>
  <si>
    <t>deity</t>
  </si>
  <si>
    <t>swish</t>
  </si>
  <si>
    <t>giver</t>
  </si>
  <si>
    <t>preen</t>
  </si>
  <si>
    <t>bevel</t>
  </si>
  <si>
    <t>lemur</t>
  </si>
  <si>
    <t>slope</t>
  </si>
  <si>
    <t>annoy</t>
  </si>
  <si>
    <t>lingo</t>
  </si>
  <si>
    <t>bleak</t>
  </si>
  <si>
    <t>ditty</t>
  </si>
  <si>
    <t>curly</t>
  </si>
  <si>
    <t>cedar</t>
  </si>
  <si>
    <t>dirge</t>
  </si>
  <si>
    <t>grown</t>
  </si>
  <si>
    <t>horde</t>
  </si>
  <si>
    <t>drool</t>
  </si>
  <si>
    <t>shuck</t>
  </si>
  <si>
    <t>crypt</t>
  </si>
  <si>
    <t>cumin</t>
  </si>
  <si>
    <t>gravy</t>
  </si>
  <si>
    <t>locus</t>
  </si>
  <si>
    <t>wider</t>
  </si>
  <si>
    <t>breed</t>
  </si>
  <si>
    <t>chafe</t>
  </si>
  <si>
    <t>cache</t>
  </si>
  <si>
    <t>blimp</t>
  </si>
  <si>
    <t>deign</t>
  </si>
  <si>
    <t>fiend</t>
  </si>
  <si>
    <t>logic</t>
  </si>
  <si>
    <t>elide</t>
  </si>
  <si>
    <t>rigid</t>
  </si>
  <si>
    <t>false</t>
  </si>
  <si>
    <t>renal</t>
  </si>
  <si>
    <t>pence</t>
  </si>
  <si>
    <t>rowdy</t>
  </si>
  <si>
    <t>blaze</t>
  </si>
  <si>
    <t>envoy</t>
  </si>
  <si>
    <t>posse</t>
  </si>
  <si>
    <t>abort</t>
  </si>
  <si>
    <t>mucky</t>
  </si>
  <si>
    <t>sulky</t>
  </si>
  <si>
    <t>fiery</t>
  </si>
  <si>
    <t>trunk</t>
  </si>
  <si>
    <t>yeast</t>
  </si>
  <si>
    <t>skunk</t>
  </si>
  <si>
    <t>scalp</t>
  </si>
  <si>
    <t>bitty</t>
  </si>
  <si>
    <t>cider</t>
  </si>
  <si>
    <t>koala</t>
  </si>
  <si>
    <t>duvet</t>
  </si>
  <si>
    <t>segue</t>
  </si>
  <si>
    <t>creme</t>
  </si>
  <si>
    <t>grill</t>
  </si>
  <si>
    <t>ember</t>
  </si>
  <si>
    <t>nobly</t>
  </si>
  <si>
    <t>gipsy</t>
  </si>
  <si>
    <t>recur</t>
  </si>
  <si>
    <t>smock</t>
  </si>
  <si>
    <t>dread</t>
  </si>
  <si>
    <t>merge</t>
  </si>
  <si>
    <t>burst</t>
  </si>
  <si>
    <t>kappa</t>
  </si>
  <si>
    <t>amity</t>
  </si>
  <si>
    <t>shaky</t>
  </si>
  <si>
    <t>hover</t>
  </si>
  <si>
    <t>carol</t>
  </si>
  <si>
    <t>snort</t>
  </si>
  <si>
    <t>synod</t>
  </si>
  <si>
    <t>faint</t>
  </si>
  <si>
    <t>haunt</t>
  </si>
  <si>
    <t>flour</t>
  </si>
  <si>
    <t>detox</t>
  </si>
  <si>
    <t>shrew</t>
  </si>
  <si>
    <t>tense</t>
  </si>
  <si>
    <t>plied</t>
  </si>
  <si>
    <t>quark</t>
  </si>
  <si>
    <t>burly</t>
  </si>
  <si>
    <t>waxen</t>
  </si>
  <si>
    <t>stoic</t>
  </si>
  <si>
    <t>jerky</t>
  </si>
  <si>
    <t>blitz</t>
  </si>
  <si>
    <t>beefy</t>
  </si>
  <si>
    <t>lyric</t>
  </si>
  <si>
    <t>hussy</t>
  </si>
  <si>
    <t>towel</t>
  </si>
  <si>
    <t>quilt</t>
  </si>
  <si>
    <t>bingo</t>
  </si>
  <si>
    <t>wispy</t>
  </si>
  <si>
    <t>brash</t>
  </si>
  <si>
    <t>scone</t>
  </si>
  <si>
    <t>toast</t>
  </si>
  <si>
    <t>easel</t>
  </si>
  <si>
    <t>saucy</t>
  </si>
  <si>
    <t>spice</t>
  </si>
  <si>
    <t>bawdy</t>
  </si>
  <si>
    <t>radii</t>
  </si>
  <si>
    <t>skull</t>
  </si>
  <si>
    <t>phony</t>
  </si>
  <si>
    <t>lager</t>
  </si>
  <si>
    <t>swell</t>
  </si>
  <si>
    <t>urine</t>
  </si>
  <si>
    <t>gassy</t>
  </si>
  <si>
    <t>flora</t>
  </si>
  <si>
    <t>latch</t>
  </si>
  <si>
    <t>wight</t>
  </si>
  <si>
    <t>retry</t>
  </si>
  <si>
    <t>holly</t>
  </si>
  <si>
    <t>decal</t>
  </si>
  <si>
    <t>shack</t>
  </si>
  <si>
    <t>dogma</t>
  </si>
  <si>
    <t>mover</t>
  </si>
  <si>
    <t>defer</t>
  </si>
  <si>
    <t>sober</t>
  </si>
  <si>
    <t>optic</t>
  </si>
  <si>
    <t>crier</t>
  </si>
  <si>
    <t>vying</t>
  </si>
  <si>
    <t>nomad</t>
  </si>
  <si>
    <t>flute</t>
  </si>
  <si>
    <t>hippo</t>
  </si>
  <si>
    <t>shark</t>
  </si>
  <si>
    <t>drier</t>
  </si>
  <si>
    <t>obese</t>
  </si>
  <si>
    <t>bugle</t>
  </si>
  <si>
    <t>tawny</t>
  </si>
  <si>
    <t>chalk</t>
  </si>
  <si>
    <t>feast</t>
  </si>
  <si>
    <t>ruddy</t>
  </si>
  <si>
    <t>pedal</t>
  </si>
  <si>
    <t>scarf</t>
  </si>
  <si>
    <t>cruel</t>
  </si>
  <si>
    <t>bleat</t>
  </si>
  <si>
    <t>tidal</t>
  </si>
  <si>
    <t>slush</t>
  </si>
  <si>
    <t>semen</t>
  </si>
  <si>
    <t>windy</t>
  </si>
  <si>
    <t>dusty</t>
  </si>
  <si>
    <t>sally</t>
  </si>
  <si>
    <t>igloo</t>
  </si>
  <si>
    <t>nerdy</t>
  </si>
  <si>
    <t>jewel</t>
  </si>
  <si>
    <t>shone</t>
  </si>
  <si>
    <t>whale</t>
  </si>
  <si>
    <t>hymen</t>
  </si>
  <si>
    <t>fugue</t>
  </si>
  <si>
    <t>elbow</t>
  </si>
  <si>
    <t>crumb</t>
  </si>
  <si>
    <t>pansy</t>
  </si>
  <si>
    <t>welsh</t>
  </si>
  <si>
    <t>syrup</t>
  </si>
  <si>
    <t>terse</t>
  </si>
  <si>
    <t>suave</t>
  </si>
  <si>
    <t>gamut</t>
  </si>
  <si>
    <t>swung</t>
  </si>
  <si>
    <t>drake</t>
  </si>
  <si>
    <t>freed</t>
  </si>
  <si>
    <t>afire</t>
  </si>
  <si>
    <t>grout</t>
  </si>
  <si>
    <t>oddly</t>
  </si>
  <si>
    <t>tithe</t>
  </si>
  <si>
    <t>plaid</t>
  </si>
  <si>
    <t>dummy</t>
  </si>
  <si>
    <t>broom</t>
  </si>
  <si>
    <t>torch</t>
  </si>
  <si>
    <t>tying</t>
  </si>
  <si>
    <t>pesky</t>
  </si>
  <si>
    <t>gazer</t>
  </si>
  <si>
    <t>noble</t>
  </si>
  <si>
    <t>ethos</t>
  </si>
  <si>
    <t>bride</t>
  </si>
  <si>
    <t>extol</t>
  </si>
  <si>
    <t>decor</t>
  </si>
  <si>
    <t>hobby</t>
  </si>
  <si>
    <t>beast</t>
  </si>
  <si>
    <t>idiom</t>
  </si>
  <si>
    <t>utter</t>
  </si>
  <si>
    <t>sixth</t>
  </si>
  <si>
    <t>alarm</t>
  </si>
  <si>
    <t>erase</t>
  </si>
  <si>
    <t>elegy</t>
  </si>
  <si>
    <t>spunk</t>
  </si>
  <si>
    <t>piper</t>
  </si>
  <si>
    <t>scaly</t>
  </si>
  <si>
    <t>scold</t>
  </si>
  <si>
    <t>hefty</t>
  </si>
  <si>
    <t>chick</t>
  </si>
  <si>
    <t>sooty</t>
  </si>
  <si>
    <t>canal</t>
  </si>
  <si>
    <t>whiny</t>
  </si>
  <si>
    <t>slash</t>
  </si>
  <si>
    <t>quake</t>
  </si>
  <si>
    <t>swept</t>
  </si>
  <si>
    <t>prude</t>
  </si>
  <si>
    <t>wield</t>
  </si>
  <si>
    <t>femme</t>
  </si>
  <si>
    <t>lasso</t>
  </si>
  <si>
    <t>maize</t>
  </si>
  <si>
    <t>shale</t>
  </si>
  <si>
    <t>screw</t>
  </si>
  <si>
    <t>spree</t>
  </si>
  <si>
    <t>smoky</t>
  </si>
  <si>
    <t>whiff</t>
  </si>
  <si>
    <t>scent</t>
  </si>
  <si>
    <t>glade</t>
  </si>
  <si>
    <t>spent</t>
  </si>
  <si>
    <t>prism</t>
  </si>
  <si>
    <t>stoke</t>
  </si>
  <si>
    <t>riper</t>
  </si>
  <si>
    <t>orbit</t>
  </si>
  <si>
    <t>cocoa</t>
  </si>
  <si>
    <t>guilt</t>
  </si>
  <si>
    <t>humus</t>
  </si>
  <si>
    <t>shush</t>
  </si>
  <si>
    <t>smirk</t>
  </si>
  <si>
    <t>noisy</t>
  </si>
  <si>
    <t>alert</t>
  </si>
  <si>
    <t>shiny</t>
  </si>
  <si>
    <t>elate</t>
  </si>
  <si>
    <t>resin</t>
  </si>
  <si>
    <t>hunch</t>
  </si>
  <si>
    <t>pixel</t>
  </si>
  <si>
    <t>polar</t>
  </si>
  <si>
    <t>sword</t>
  </si>
  <si>
    <t>cleat</t>
  </si>
  <si>
    <t>mango</t>
  </si>
  <si>
    <t>rumba</t>
  </si>
  <si>
    <t>puffy</t>
  </si>
  <si>
    <t>filly</t>
  </si>
  <si>
    <t>billy</t>
  </si>
  <si>
    <t>leash</t>
  </si>
  <si>
    <t>clout</t>
  </si>
  <si>
    <t>ovate</t>
  </si>
  <si>
    <t>facet</t>
  </si>
  <si>
    <t>chili</t>
  </si>
  <si>
    <t>liner</t>
  </si>
  <si>
    <t>curio</t>
  </si>
  <si>
    <t>salty</t>
  </si>
  <si>
    <t>audio</t>
  </si>
  <si>
    <t>snake</t>
  </si>
  <si>
    <t>fable</t>
  </si>
  <si>
    <t>cloak</t>
  </si>
  <si>
    <t>navel</t>
  </si>
  <si>
    <t>spurt</t>
  </si>
  <si>
    <t>pesto</t>
  </si>
  <si>
    <t>balmy</t>
  </si>
  <si>
    <t>flash</t>
  </si>
  <si>
    <t>unwed</t>
  </si>
  <si>
    <t>churn</t>
  </si>
  <si>
    <t>weedy</t>
  </si>
  <si>
    <t>stump</t>
  </si>
  <si>
    <t>lease</t>
  </si>
  <si>
    <t>witty</t>
  </si>
  <si>
    <t>wimpy</t>
  </si>
  <si>
    <t>spoof</t>
  </si>
  <si>
    <t>saner</t>
  </si>
  <si>
    <t>blend</t>
  </si>
  <si>
    <t>salsa</t>
  </si>
  <si>
    <t>warty</t>
  </si>
  <si>
    <t>manic</t>
  </si>
  <si>
    <t>blare</t>
  </si>
  <si>
    <t>squib</t>
  </si>
  <si>
    <t>spoon</t>
  </si>
  <si>
    <t>probe</t>
  </si>
  <si>
    <t>crepe</t>
  </si>
  <si>
    <t>knack</t>
  </si>
  <si>
    <t>debut</t>
  </si>
  <si>
    <t>haste</t>
  </si>
  <si>
    <t>teeth</t>
  </si>
  <si>
    <t>widen</t>
  </si>
  <si>
    <t>icily</t>
  </si>
  <si>
    <t>ingot</t>
  </si>
  <si>
    <t>clash</t>
  </si>
  <si>
    <t>juror</t>
  </si>
  <si>
    <t>abode</t>
  </si>
  <si>
    <t>unity</t>
  </si>
  <si>
    <t>pivot</t>
  </si>
  <si>
    <t>slept</t>
  </si>
  <si>
    <t>spare</t>
  </si>
  <si>
    <t>sewer</t>
  </si>
  <si>
    <t>parse</t>
  </si>
  <si>
    <t>morph</t>
  </si>
  <si>
    <t>cacti</t>
  </si>
  <si>
    <t>tacky</t>
  </si>
  <si>
    <t>spool</t>
  </si>
  <si>
    <t>demon</t>
  </si>
  <si>
    <t>moody</t>
  </si>
  <si>
    <t>annex</t>
  </si>
  <si>
    <t>fuzzy</t>
  </si>
  <si>
    <t>lumpy</t>
  </si>
  <si>
    <t>admin</t>
  </si>
  <si>
    <t>omega</t>
  </si>
  <si>
    <t>tabby</t>
  </si>
  <si>
    <t>macho</t>
  </si>
  <si>
    <t>aisle</t>
  </si>
  <si>
    <t>skiff</t>
  </si>
  <si>
    <t>plank</t>
  </si>
  <si>
    <t>verge</t>
  </si>
  <si>
    <t>botch</t>
  </si>
  <si>
    <t>crawl</t>
  </si>
  <si>
    <t>lousy</t>
  </si>
  <si>
    <t>slain</t>
  </si>
  <si>
    <t>cubic</t>
  </si>
  <si>
    <t>wrack</t>
  </si>
  <si>
    <t>foist</t>
  </si>
  <si>
    <t>cameo</t>
  </si>
  <si>
    <t>revue</t>
  </si>
  <si>
    <t>fraud</t>
  </si>
  <si>
    <t>harpy</t>
  </si>
  <si>
    <t>scoop</t>
  </si>
  <si>
    <t>olden</t>
  </si>
  <si>
    <t>clerk</t>
  </si>
  <si>
    <t>debar</t>
  </si>
  <si>
    <t>tally</t>
  </si>
  <si>
    <t>ethic</t>
  </si>
  <si>
    <t>cairn</t>
  </si>
  <si>
    <t>tulle</t>
  </si>
  <si>
    <t>ghoul</t>
  </si>
  <si>
    <t>hilly</t>
  </si>
  <si>
    <t>crude</t>
  </si>
  <si>
    <t>older</t>
  </si>
  <si>
    <t>plain</t>
  </si>
  <si>
    <t>sperm</t>
  </si>
  <si>
    <t>briny</t>
  </si>
  <si>
    <t>abbot</t>
  </si>
  <si>
    <t>rerun</t>
  </si>
  <si>
    <t>quest</t>
  </si>
  <si>
    <t>crisp</t>
  </si>
  <si>
    <t>bound</t>
  </si>
  <si>
    <t>befit</t>
  </si>
  <si>
    <t>drawn</t>
  </si>
  <si>
    <t>suite</t>
  </si>
  <si>
    <t>itchy</t>
  </si>
  <si>
    <t>cheer</t>
  </si>
  <si>
    <t>bagel</t>
  </si>
  <si>
    <t>axiom</t>
  </si>
  <si>
    <t>chard</t>
  </si>
  <si>
    <t>caput</t>
  </si>
  <si>
    <t>leant</t>
  </si>
  <si>
    <t>harsh</t>
  </si>
  <si>
    <t>curse</t>
  </si>
  <si>
    <t>opine</t>
  </si>
  <si>
    <t>lupus</t>
  </si>
  <si>
    <t>gumbo</t>
  </si>
  <si>
    <t>miner</t>
  </si>
  <si>
    <t>chasm</t>
  </si>
  <si>
    <t>lipid</t>
  </si>
  <si>
    <t>armor</t>
  </si>
  <si>
    <t>crane</t>
  </si>
  <si>
    <t>mural</t>
  </si>
  <si>
    <t>abled</t>
  </si>
  <si>
    <t>bossy</t>
  </si>
  <si>
    <t>dusky</t>
  </si>
  <si>
    <t>dizzy</t>
  </si>
  <si>
    <t>lithe</t>
  </si>
  <si>
    <t>brook</t>
  </si>
  <si>
    <t>jazzy</t>
  </si>
  <si>
    <t>surly</t>
  </si>
  <si>
    <t>fatal</t>
  </si>
  <si>
    <t>flunk</t>
  </si>
  <si>
    <t>began</t>
  </si>
  <si>
    <t>prune</t>
  </si>
  <si>
    <t>slant</t>
  </si>
  <si>
    <t>scoff</t>
  </si>
  <si>
    <t>torus</t>
  </si>
  <si>
    <t>ninny</t>
  </si>
  <si>
    <t>covey</t>
  </si>
  <si>
    <t>viper</t>
  </si>
  <si>
    <t>taken</t>
  </si>
  <si>
    <t>vogue</t>
  </si>
  <si>
    <t>owing</t>
  </si>
  <si>
    <t>token</t>
  </si>
  <si>
    <t>booth</t>
  </si>
  <si>
    <t>chide</t>
  </si>
  <si>
    <t>elfin</t>
  </si>
  <si>
    <t>ebony</t>
  </si>
  <si>
    <t>neigh</t>
  </si>
  <si>
    <t>minim</t>
  </si>
  <si>
    <t>melon</t>
  </si>
  <si>
    <t>kneed</t>
  </si>
  <si>
    <t>decoy</t>
  </si>
  <si>
    <t>voila</t>
  </si>
  <si>
    <t>ankle</t>
  </si>
  <si>
    <t>arrow</t>
  </si>
  <si>
    <t>mushy</t>
  </si>
  <si>
    <t>cease</t>
  </si>
  <si>
    <t>graph</t>
  </si>
  <si>
    <t>odder</t>
  </si>
  <si>
    <t>terra</t>
  </si>
  <si>
    <t>weird</t>
  </si>
  <si>
    <t>tried</t>
  </si>
  <si>
    <t>clack</t>
  </si>
  <si>
    <t>uncut</t>
  </si>
  <si>
    <t>ladle</t>
  </si>
  <si>
    <t>minus</t>
  </si>
  <si>
    <t>dicey</t>
  </si>
  <si>
    <t>titan</t>
  </si>
  <si>
    <t>lucid</t>
  </si>
  <si>
    <t>vicar</t>
  </si>
  <si>
    <t>ditch</t>
  </si>
  <si>
    <t>gypsy</t>
  </si>
  <si>
    <t>pasta</t>
  </si>
  <si>
    <t>taffy</t>
  </si>
  <si>
    <t>swoop</t>
  </si>
  <si>
    <t>aloof</t>
  </si>
  <si>
    <t>broke</t>
  </si>
  <si>
    <t>teary</t>
  </si>
  <si>
    <t>sixty</t>
  </si>
  <si>
    <t>wordy</t>
  </si>
  <si>
    <t>sheer</t>
  </si>
  <si>
    <t>leper</t>
  </si>
  <si>
    <t>nosey</t>
  </si>
  <si>
    <t>bulge</t>
  </si>
  <si>
    <t>savor</t>
  </si>
  <si>
    <t>clamp</t>
  </si>
  <si>
    <t>funky</t>
  </si>
  <si>
    <t>foamy</t>
  </si>
  <si>
    <t>toxic</t>
  </si>
  <si>
    <t>plumb</t>
  </si>
  <si>
    <t>dingy</t>
  </si>
  <si>
    <t>butte</t>
  </si>
  <si>
    <t>drill</t>
  </si>
  <si>
    <t>tripe</t>
  </si>
  <si>
    <t>bicep</t>
  </si>
  <si>
    <t>tenor</t>
  </si>
  <si>
    <t>krill</t>
  </si>
  <si>
    <t>worse</t>
  </si>
  <si>
    <t>hyena</t>
  </si>
  <si>
    <t>cobra</t>
  </si>
  <si>
    <t>basil</t>
  </si>
  <si>
    <t>scrum</t>
  </si>
  <si>
    <t>bused</t>
  </si>
  <si>
    <t>camel</t>
  </si>
  <si>
    <t>heard</t>
  </si>
  <si>
    <t>angel</t>
  </si>
  <si>
    <t>petal</t>
  </si>
  <si>
    <t>pouty</t>
  </si>
  <si>
    <t>throb</t>
  </si>
  <si>
    <t>fetal</t>
  </si>
  <si>
    <t>sprig</t>
  </si>
  <si>
    <t>spine</t>
  </si>
  <si>
    <t>cadet</t>
  </si>
  <si>
    <t>macro</t>
  </si>
  <si>
    <t>dodgy</t>
  </si>
  <si>
    <t>satyr</t>
  </si>
  <si>
    <t>rarer</t>
  </si>
  <si>
    <t>binge</t>
  </si>
  <si>
    <t>nutty</t>
  </si>
  <si>
    <t>leapt</t>
  </si>
  <si>
    <t>amiss</t>
  </si>
  <si>
    <t>myrrh</t>
  </si>
  <si>
    <t>width</t>
  </si>
  <si>
    <t>sonar</t>
  </si>
  <si>
    <t>baron</t>
  </si>
  <si>
    <t>fever</t>
  </si>
  <si>
    <t>waver</t>
  </si>
  <si>
    <t>spark</t>
  </si>
  <si>
    <t>belie</t>
  </si>
  <si>
    <t>sloop</t>
  </si>
  <si>
    <t>expel</t>
  </si>
  <si>
    <t>smote</t>
  </si>
  <si>
    <t>baler</t>
  </si>
  <si>
    <t>wafer</t>
  </si>
  <si>
    <t>scant</t>
  </si>
  <si>
    <t>frill</t>
  </si>
  <si>
    <t>awash</t>
  </si>
  <si>
    <t>snack</t>
  </si>
  <si>
    <t>scowl</t>
  </si>
  <si>
    <t>frail</t>
  </si>
  <si>
    <t>drift</t>
  </si>
  <si>
    <t>limbo</t>
  </si>
  <si>
    <t>motel</t>
  </si>
  <si>
    <t>ounce</t>
  </si>
  <si>
    <t>wreak</t>
  </si>
  <si>
    <t>revel</t>
  </si>
  <si>
    <t>talon</t>
  </si>
  <si>
    <t>knelt</t>
  </si>
  <si>
    <t>cello</t>
  </si>
  <si>
    <t>flake</t>
  </si>
  <si>
    <t>debug</t>
  </si>
  <si>
    <t>anode</t>
  </si>
  <si>
    <t>salve</t>
  </si>
  <si>
    <t>scout</t>
  </si>
  <si>
    <t>imbue</t>
  </si>
  <si>
    <t>pinky</t>
  </si>
  <si>
    <t>stave</t>
  </si>
  <si>
    <t>vague</t>
  </si>
  <si>
    <t>chock</t>
  </si>
  <si>
    <t>cleft</t>
  </si>
  <si>
    <t>frost</t>
  </si>
  <si>
    <t>prawn</t>
  </si>
  <si>
    <t>booty</t>
  </si>
  <si>
    <t>twist</t>
  </si>
  <si>
    <t>apnea</t>
  </si>
  <si>
    <t>stiff</t>
  </si>
  <si>
    <t>plaza</t>
  </si>
  <si>
    <t>ledge</t>
  </si>
  <si>
    <t>tweak</t>
  </si>
  <si>
    <t>medic</t>
  </si>
  <si>
    <t>bacon</t>
  </si>
  <si>
    <t>brawl</t>
  </si>
  <si>
    <t>slunk</t>
  </si>
  <si>
    <t>raspy</t>
  </si>
  <si>
    <t>forum</t>
  </si>
  <si>
    <t>drone</t>
  </si>
  <si>
    <t>women</t>
  </si>
  <si>
    <t>mucus</t>
  </si>
  <si>
    <t>boast</t>
  </si>
  <si>
    <t>toddy</t>
  </si>
  <si>
    <t>coven</t>
  </si>
  <si>
    <t>tumor</t>
  </si>
  <si>
    <t>truer</t>
  </si>
  <si>
    <t>wrath</t>
  </si>
  <si>
    <t>stall</t>
  </si>
  <si>
    <t>steam</t>
  </si>
  <si>
    <t>axial</t>
  </si>
  <si>
    <t>purer</t>
  </si>
  <si>
    <t>niche</t>
  </si>
  <si>
    <t>mealy</t>
  </si>
  <si>
    <t>nylon</t>
  </si>
  <si>
    <t>plump</t>
  </si>
  <si>
    <t>merry</t>
  </si>
  <si>
    <t>flail</t>
  </si>
  <si>
    <t>papal</t>
  </si>
  <si>
    <t>wheat</t>
  </si>
  <si>
    <t>berry</t>
  </si>
  <si>
    <t>cower</t>
  </si>
  <si>
    <t>erect</t>
  </si>
  <si>
    <t>brute</t>
  </si>
  <si>
    <t>leggy</t>
  </si>
  <si>
    <t>snipe</t>
  </si>
  <si>
    <t>sinew</t>
  </si>
  <si>
    <t>skier</t>
  </si>
  <si>
    <t>penny</t>
  </si>
  <si>
    <t>jumpy</t>
  </si>
  <si>
    <t>rally</t>
  </si>
  <si>
    <t>umbra</t>
  </si>
  <si>
    <t>scary</t>
  </si>
  <si>
    <t>modem</t>
  </si>
  <si>
    <t>gross</t>
  </si>
  <si>
    <t>avian</t>
  </si>
  <si>
    <t>greed</t>
  </si>
  <si>
    <t>satin</t>
  </si>
  <si>
    <t>tonic</t>
  </si>
  <si>
    <t>parka</t>
  </si>
  <si>
    <t>sniff</t>
  </si>
  <si>
    <t>livid</t>
  </si>
  <si>
    <t>stark</t>
  </si>
  <si>
    <t>trump</t>
  </si>
  <si>
    <t>giddy</t>
  </si>
  <si>
    <t>reuse</t>
  </si>
  <si>
    <t>taboo</t>
  </si>
  <si>
    <t>devil</t>
  </si>
  <si>
    <t>liken</t>
  </si>
  <si>
    <t>gloss</t>
  </si>
  <si>
    <t>gayer</t>
  </si>
  <si>
    <t>beret</t>
  </si>
  <si>
    <t>gland</t>
  </si>
  <si>
    <t>dealt</t>
  </si>
  <si>
    <t>sling</t>
  </si>
  <si>
    <t>rumor</t>
  </si>
  <si>
    <t>opera</t>
  </si>
  <si>
    <t>thigh</t>
  </si>
  <si>
    <t>tonga</t>
  </si>
  <si>
    <t>flare</t>
  </si>
  <si>
    <t>bulky</t>
  </si>
  <si>
    <t>etude</t>
  </si>
  <si>
    <t>circa</t>
  </si>
  <si>
    <t>paddy</t>
  </si>
  <si>
    <t>inbox</t>
  </si>
  <si>
    <t>fizzy</t>
  </si>
  <si>
    <t>exert</t>
  </si>
  <si>
    <t>surge</t>
  </si>
  <si>
    <t>gleam</t>
  </si>
  <si>
    <t>belle</t>
  </si>
  <si>
    <t>salvo</t>
  </si>
  <si>
    <t>crush</t>
  </si>
  <si>
    <t>sappy</t>
  </si>
  <si>
    <t>taker</t>
  </si>
  <si>
    <t>tract</t>
  </si>
  <si>
    <t>ovine</t>
  </si>
  <si>
    <t>spiky</t>
  </si>
  <si>
    <t>frank</t>
  </si>
  <si>
    <t>reedy</t>
  </si>
  <si>
    <t>filth</t>
  </si>
  <si>
    <t>spasm</t>
  </si>
  <si>
    <t>heave</t>
  </si>
  <si>
    <t>mambo</t>
  </si>
  <si>
    <t>clank</t>
  </si>
  <si>
    <t>lumen</t>
  </si>
  <si>
    <t>borne</t>
  </si>
  <si>
    <t>spook</t>
  </si>
  <si>
    <t>amber</t>
  </si>
  <si>
    <t>lathe</t>
  </si>
  <si>
    <t>carat</t>
  </si>
  <si>
    <t>corer</t>
  </si>
  <si>
    <t>slyly</t>
  </si>
  <si>
    <t>affix</t>
  </si>
  <si>
    <t>alloy</t>
  </si>
  <si>
    <t>taint</t>
  </si>
  <si>
    <t>sheep</t>
  </si>
  <si>
    <t>kinky</t>
  </si>
  <si>
    <t>wooly</t>
  </si>
  <si>
    <t>mauve</t>
  </si>
  <si>
    <t>flung</t>
  </si>
  <si>
    <t>yacht</t>
  </si>
  <si>
    <t>fried</t>
  </si>
  <si>
    <t>quail</t>
  </si>
  <si>
    <t>brunt</t>
  </si>
  <si>
    <t>grimy</t>
  </si>
  <si>
    <t>curvy</t>
  </si>
  <si>
    <t>cagey</t>
  </si>
  <si>
    <t>rinse</t>
  </si>
  <si>
    <t>deuce</t>
  </si>
  <si>
    <t>grasp</t>
  </si>
  <si>
    <t>milky</t>
  </si>
  <si>
    <t>bison</t>
  </si>
  <si>
    <t>graft</t>
  </si>
  <si>
    <t>sandy</t>
  </si>
  <si>
    <t>baste</t>
  </si>
  <si>
    <t>flask</t>
  </si>
  <si>
    <t>hedge</t>
  </si>
  <si>
    <t>girly</t>
  </si>
  <si>
    <t>swash</t>
  </si>
  <si>
    <t>boney</t>
  </si>
  <si>
    <t>coupe</t>
  </si>
  <si>
    <t>endow</t>
  </si>
  <si>
    <t>abhor</t>
  </si>
  <si>
    <t>welch</t>
  </si>
  <si>
    <t>geese</t>
  </si>
  <si>
    <t>miser</t>
  </si>
  <si>
    <t>mirth</t>
  </si>
  <si>
    <t>cabal</t>
  </si>
  <si>
    <t>leech</t>
  </si>
  <si>
    <t>tenth</t>
  </si>
  <si>
    <t>pecan</t>
  </si>
  <si>
    <t>droit</t>
  </si>
  <si>
    <t>grail</t>
  </si>
  <si>
    <t>clone</t>
  </si>
  <si>
    <t>guise</t>
  </si>
  <si>
    <t>ralph</t>
  </si>
  <si>
    <t>tango</t>
  </si>
  <si>
    <t>biddy</t>
  </si>
  <si>
    <t>smith</t>
  </si>
  <si>
    <t>mower</t>
  </si>
  <si>
    <t>payee</t>
  </si>
  <si>
    <t>serif</t>
  </si>
  <si>
    <t>drape</t>
  </si>
  <si>
    <t>spank</t>
  </si>
  <si>
    <t>glaze</t>
  </si>
  <si>
    <t>allot</t>
  </si>
  <si>
    <t>kayak</t>
  </si>
  <si>
    <t>testy</t>
  </si>
  <si>
    <t>tepee</t>
  </si>
  <si>
    <t>zonal</t>
  </si>
  <si>
    <t>metro</t>
  </si>
  <si>
    <t>curry</t>
  </si>
  <si>
    <t>banjo</t>
  </si>
  <si>
    <t>axion</t>
  </si>
  <si>
    <t>bezel</t>
  </si>
  <si>
    <t>nasal</t>
  </si>
  <si>
    <t>gooey</t>
  </si>
  <si>
    <t>filer</t>
  </si>
  <si>
    <t>brace</t>
  </si>
  <si>
    <t>allay</t>
  </si>
  <si>
    <t>pubic</t>
  </si>
  <si>
    <t>raven</t>
  </si>
  <si>
    <t>plead</t>
  </si>
  <si>
    <t>gnash</t>
  </si>
  <si>
    <t>flaky</t>
  </si>
  <si>
    <t>munch</t>
  </si>
  <si>
    <t>dully</t>
  </si>
  <si>
    <t>eking</t>
  </si>
  <si>
    <t>slink</t>
  </si>
  <si>
    <t>hurry</t>
  </si>
  <si>
    <t>theft</t>
  </si>
  <si>
    <t>shorn</t>
  </si>
  <si>
    <t>pygmy</t>
  </si>
  <si>
    <t>ranch</t>
  </si>
  <si>
    <t>wring</t>
  </si>
  <si>
    <t>mamma</t>
  </si>
  <si>
    <t>froze</t>
  </si>
  <si>
    <t>newer</t>
  </si>
  <si>
    <t>moose</t>
  </si>
  <si>
    <t>antic</t>
  </si>
  <si>
    <t>drown</t>
  </si>
  <si>
    <t>vegan</t>
  </si>
  <si>
    <t>chess</t>
  </si>
  <si>
    <t>guppy</t>
  </si>
  <si>
    <t>lever</t>
  </si>
  <si>
    <t>lorry</t>
  </si>
  <si>
    <t>cabby</t>
  </si>
  <si>
    <t>druid</t>
  </si>
  <si>
    <t>dopey</t>
  </si>
  <si>
    <t>spear</t>
  </si>
  <si>
    <t>cried</t>
  </si>
  <si>
    <t>chime</t>
  </si>
  <si>
    <t>crony</t>
  </si>
  <si>
    <t>stunk</t>
  </si>
  <si>
    <t>timid</t>
  </si>
  <si>
    <t>batch</t>
  </si>
  <si>
    <t>gauge</t>
  </si>
  <si>
    <t>rotor</t>
  </si>
  <si>
    <t>curve</t>
  </si>
  <si>
    <t>latte</t>
  </si>
  <si>
    <t>witch</t>
  </si>
  <si>
    <t>repel</t>
  </si>
  <si>
    <t>anvil</t>
  </si>
  <si>
    <t>soapy</t>
  </si>
  <si>
    <t>broth</t>
  </si>
  <si>
    <t>madly</t>
  </si>
  <si>
    <t>dried</t>
  </si>
  <si>
    <t>known</t>
  </si>
  <si>
    <t>magma</t>
  </si>
  <si>
    <t>roost</t>
  </si>
  <si>
    <t>thong</t>
  </si>
  <si>
    <t>punch</t>
  </si>
  <si>
    <t>pasty</t>
  </si>
  <si>
    <t>downy</t>
  </si>
  <si>
    <t>knead</t>
  </si>
  <si>
    <t>whirl</t>
  </si>
  <si>
    <t>clang</t>
  </si>
  <si>
    <t>goofy</t>
  </si>
  <si>
    <t>email</t>
  </si>
  <si>
    <t>bleep</t>
  </si>
  <si>
    <t>rider</t>
  </si>
  <si>
    <t>mecca</t>
  </si>
  <si>
    <t>folio</t>
  </si>
  <si>
    <t>setup</t>
  </si>
  <si>
    <t>verso</t>
  </si>
  <si>
    <t>quash</t>
  </si>
  <si>
    <t>fauna</t>
  </si>
  <si>
    <t>gummy</t>
  </si>
  <si>
    <t>fussy</t>
  </si>
  <si>
    <t>relic</t>
  </si>
  <si>
    <t>guava</t>
  </si>
  <si>
    <t>ratty</t>
  </si>
  <si>
    <t>fudge</t>
  </si>
  <si>
    <t>femur</t>
  </si>
  <si>
    <t>chirp</t>
  </si>
  <si>
    <t>forte</t>
  </si>
  <si>
    <t>alibi</t>
  </si>
  <si>
    <t>whine</t>
  </si>
  <si>
    <t>petty</t>
  </si>
  <si>
    <t>golly</t>
  </si>
  <si>
    <t>plait</t>
  </si>
  <si>
    <t>fleck</t>
  </si>
  <si>
    <t>felon</t>
  </si>
  <si>
    <t>gourd</t>
  </si>
  <si>
    <t>thrum</t>
  </si>
  <si>
    <t>ficus</t>
  </si>
  <si>
    <t>stash</t>
  </si>
  <si>
    <t>decry</t>
  </si>
  <si>
    <t>wiser</t>
  </si>
  <si>
    <t>junta</t>
  </si>
  <si>
    <t>visor</t>
  </si>
  <si>
    <t>daunt</t>
  </si>
  <si>
    <t>scree</t>
  </si>
  <si>
    <t>impel</t>
  </si>
  <si>
    <t>await</t>
  </si>
  <si>
    <t>turbo</t>
  </si>
  <si>
    <t>stoop</t>
  </si>
  <si>
    <t>mangy</t>
  </si>
  <si>
    <t>eying</t>
  </si>
  <si>
    <t>inlet</t>
  </si>
  <si>
    <t>crone</t>
  </si>
  <si>
    <t>pulse</t>
  </si>
  <si>
    <t>mossy</t>
  </si>
  <si>
    <t>staid</t>
  </si>
  <si>
    <t>hence</t>
  </si>
  <si>
    <t>pinch</t>
  </si>
  <si>
    <t>teddy</t>
  </si>
  <si>
    <t>sully</t>
  </si>
  <si>
    <t>snore</t>
  </si>
  <si>
    <t>ripen</t>
  </si>
  <si>
    <t>snowy</t>
  </si>
  <si>
    <t>attic</t>
  </si>
  <si>
    <t>going</t>
  </si>
  <si>
    <t>leach</t>
  </si>
  <si>
    <t>hound</t>
  </si>
  <si>
    <t>clump</t>
  </si>
  <si>
    <t>tonal</t>
  </si>
  <si>
    <t>bigot</t>
  </si>
  <si>
    <t>peril</t>
  </si>
  <si>
    <t>haute</t>
  </si>
  <si>
    <t>spied</t>
  </si>
  <si>
    <t>undid</t>
  </si>
  <si>
    <t>intro</t>
  </si>
  <si>
    <t>basal</t>
  </si>
  <si>
    <t>gecko</t>
  </si>
  <si>
    <t>rodeo</t>
  </si>
  <si>
    <t>steer</t>
  </si>
  <si>
    <t>loamy</t>
  </si>
  <si>
    <t>scamp</t>
  </si>
  <si>
    <t>scram</t>
  </si>
  <si>
    <t>manly</t>
  </si>
  <si>
    <t>vaunt</t>
  </si>
  <si>
    <t>organ</t>
  </si>
  <si>
    <t>feral</t>
  </si>
  <si>
    <t>condo</t>
  </si>
  <si>
    <t>willy</t>
  </si>
  <si>
    <t>polka</t>
  </si>
  <si>
    <t>rayon</t>
  </si>
  <si>
    <t>skirt</t>
  </si>
  <si>
    <t>torso</t>
  </si>
  <si>
    <t>mercy</t>
  </si>
  <si>
    <t>tepid</t>
  </si>
  <si>
    <t>sleek</t>
  </si>
  <si>
    <t>riser</t>
  </si>
  <si>
    <t>twixt</t>
  </si>
  <si>
    <t>flush</t>
  </si>
  <si>
    <t>catty</t>
  </si>
  <si>
    <t>login</t>
  </si>
  <si>
    <t>eject</t>
  </si>
  <si>
    <t>roger</t>
  </si>
  <si>
    <t>rival</t>
  </si>
  <si>
    <t>untie</t>
  </si>
  <si>
    <t>refit</t>
  </si>
  <si>
    <t>aorta</t>
  </si>
  <si>
    <t>rower</t>
  </si>
  <si>
    <t>artsy</t>
  </si>
  <si>
    <t>shave</t>
  </si>
  <si>
    <t>https://github.com/hannahcode/wordle/blob/main/src/constants/wordlist.ts</t>
  </si>
  <si>
    <t>https://github.com/hannahcode/wordle</t>
  </si>
  <si>
    <t>Word List</t>
  </si>
  <si>
    <t>Source</t>
  </si>
  <si>
    <t>R</t>
  </si>
  <si>
    <t>G</t>
  </si>
  <si>
    <t>B</t>
  </si>
  <si>
    <t>Word List (original order)</t>
  </si>
  <si>
    <t>Rand</t>
  </si>
  <si>
    <t>row</t>
  </si>
  <si>
    <t>letter</t>
  </si>
  <si>
    <t>gray button background</t>
  </si>
  <si>
    <t>dark gray</t>
  </si>
  <si>
    <t>yellow</t>
  </si>
  <si>
    <t>blue</t>
  </si>
  <si>
    <t>orange</t>
  </si>
  <si>
    <t>in wrong</t>
  </si>
  <si>
    <t>in right</t>
  </si>
  <si>
    <t>hard mode:</t>
  </si>
  <si>
    <t>dark/light:</t>
  </si>
  <si>
    <t>today:</t>
  </si>
  <si>
    <t>no</t>
  </si>
  <si>
    <t>today's word:</t>
  </si>
  <si>
    <t>colorblind:</t>
  </si>
  <si>
    <t>Total No. Words:</t>
  </si>
  <si>
    <t>Start Date:</t>
  </si>
  <si>
    <t>Date</t>
  </si>
  <si>
    <t>active word:</t>
  </si>
  <si>
    <t>dark</t>
  </si>
  <si>
    <t>qty</t>
  </si>
  <si>
    <t>total wins</t>
  </si>
  <si>
    <t>avg guesses</t>
  </si>
  <si>
    <t>total losses</t>
  </si>
  <si>
    <t>win %</t>
  </si>
  <si>
    <t>no guesses</t>
  </si>
  <si>
    <t>current streak</t>
  </si>
  <si>
    <t>longest streak</t>
  </si>
  <si>
    <t>DAILY</t>
  </si>
  <si>
    <t>RANDOM/PRACTICE</t>
  </si>
  <si>
    <t>Played</t>
  </si>
  <si>
    <t>Win %</t>
  </si>
  <si>
    <t>Current Streak</t>
  </si>
  <si>
    <t>Max Streak</t>
  </si>
  <si>
    <t>Average Guesses</t>
  </si>
  <si>
    <t>DAILY WORD STATISTICS</t>
  </si>
  <si>
    <t>GUESS DISTRIBUTION</t>
  </si>
  <si>
    <t>RANDOM/PRACTICE WORD STATISTICS</t>
  </si>
  <si>
    <t>HOW TO PLAY</t>
  </si>
  <si>
    <t>Each guess must be a valid five-letter word. Hit the enter button to submit.</t>
  </si>
  <si>
    <t xml:space="preserve">After each guess, the color of the tiles will change to show how close your </t>
  </si>
  <si>
    <t>guess was to the word.</t>
  </si>
  <si>
    <t>W</t>
  </si>
  <si>
    <t>E</t>
  </si>
  <si>
    <t>A</t>
  </si>
  <si>
    <t>Y</t>
  </si>
  <si>
    <t>P</t>
  </si>
  <si>
    <t>I</t>
  </si>
  <si>
    <t>L</t>
  </si>
  <si>
    <t>S</t>
  </si>
  <si>
    <t>V</t>
  </si>
  <si>
    <t>U</t>
  </si>
  <si>
    <t>If you want to play the same daily word as your friends, and maybe even</t>
  </si>
  <si>
    <t>compete on who can solve the most words or use the fewest guesses,</t>
  </si>
  <si>
    <t>check out the Administrator instructions by clicking the button below.</t>
  </si>
  <si>
    <r>
      <t xml:space="preserve">Guess the </t>
    </r>
    <r>
      <rPr>
        <b/>
        <sz val="11"/>
        <color rgb="FFFFFFFF"/>
        <rFont val="Arial"/>
        <family val="2"/>
      </rPr>
      <t>WORDLE</t>
    </r>
    <r>
      <rPr>
        <sz val="11"/>
        <color rgb="FFFFFFFF"/>
        <rFont val="Arial"/>
        <family val="2"/>
      </rPr>
      <t xml:space="preserve"> in six tries. Use the on-screen keys to type your guess.</t>
    </r>
  </si>
  <si>
    <r>
      <t xml:space="preserve">The letter </t>
    </r>
    <r>
      <rPr>
        <b/>
        <sz val="11"/>
        <color rgb="FFFFFFFF"/>
        <rFont val="Arial"/>
        <family val="2"/>
      </rPr>
      <t>W</t>
    </r>
    <r>
      <rPr>
        <sz val="11"/>
        <color rgb="FFFFFFFF"/>
        <rFont val="Arial"/>
        <family val="2"/>
      </rPr>
      <t xml:space="preserve"> is in the work and in the correct spot.</t>
    </r>
  </si>
  <si>
    <r>
      <t xml:space="preserve">The letter </t>
    </r>
    <r>
      <rPr>
        <b/>
        <sz val="11"/>
        <color rgb="FFFFFFFF"/>
        <rFont val="Arial"/>
        <family val="2"/>
      </rPr>
      <t>I</t>
    </r>
    <r>
      <rPr>
        <sz val="11"/>
        <color rgb="FFFFFFFF"/>
        <rFont val="Arial"/>
        <family val="2"/>
      </rPr>
      <t xml:space="preserve"> is in the word but in the wrong spot.</t>
    </r>
  </si>
  <si>
    <r>
      <t xml:space="preserve">The letter </t>
    </r>
    <r>
      <rPr>
        <b/>
        <sz val="11"/>
        <color rgb="FFFFFFFF"/>
        <rFont val="Arial"/>
        <family val="2"/>
      </rPr>
      <t>U</t>
    </r>
    <r>
      <rPr>
        <sz val="11"/>
        <color rgb="FFFFFFFF"/>
        <rFont val="Arial"/>
        <family val="2"/>
      </rPr>
      <t xml:space="preserve"> is not in the word in any spot.</t>
    </r>
  </si>
  <si>
    <t>EXAMPLES</t>
  </si>
  <si>
    <t>Administrator Instructions</t>
  </si>
  <si>
    <t>About</t>
  </si>
  <si>
    <t>Step 1 is to get your group a unique list of daily words. In order to do that, click the "Randomize Word List" button below.</t>
  </si>
  <si>
    <t>Click the button "Hide Administrator Sheet", save the file, and send it out to your group.</t>
  </si>
  <si>
    <t>1. Randomize word list</t>
  </si>
  <si>
    <t>2. Send to friends</t>
  </si>
  <si>
    <t>3. Score the results</t>
  </si>
  <si>
    <t>You will then be prompted to select the Excel files sent back to you by your group.</t>
  </si>
  <si>
    <t>Scoring Category Weights</t>
  </si>
  <si>
    <t>Longest Streak</t>
  </si>
  <si>
    <t>Wordle Excel clone provided by EXCEL RAIN MAN. Please visit us For more info. Also visit https://www.nytimes.com/games/wordle/index.html to play the official version of Wordle.</t>
  </si>
  <si>
    <t xml:space="preserve">Win Percentage: </t>
  </si>
  <si>
    <t xml:space="preserve">Longest Streak: </t>
  </si>
  <si>
    <t xml:space="preserve">Avg. No. Guesses: </t>
  </si>
  <si>
    <t>The way the results are scored is configurable below (default is 33.33% for all three categories).</t>
  </si>
  <si>
    <t>Name</t>
  </si>
  <si>
    <t>Avg. Guesses</t>
  </si>
  <si>
    <t>Win% Score</t>
  </si>
  <si>
    <t>Streak Score</t>
  </si>
  <si>
    <t>Guesses Score</t>
  </si>
  <si>
    <t>Total Weighted Score</t>
  </si>
  <si>
    <t>Name1</t>
  </si>
  <si>
    <t>Name2</t>
  </si>
  <si>
    <t>Wordle Excel clone provided by EXCEL RAIN MAN. Please visit us for more info. Also visit https://www.nytimes.com/games/wordle/index.html to play the official version of Wordle.</t>
  </si>
  <si>
    <t>When are asked if you're sure you want to reset stats, click Yes.</t>
  </si>
  <si>
    <t>Welcome to Excel Rainman's Wordle hosting game, in Excel! The purpose of this Administrator sheet is to allow you to send this file to a group of people,</t>
  </si>
  <si>
    <t xml:space="preserve">then you all play Wordle with the same daily word. After whatever time period you would like, everyone in the group sends you (the Administrator) their </t>
  </si>
  <si>
    <t>Excel files for scoring. You then click the "Score Files" button, and see how well everyone did!</t>
  </si>
  <si>
    <t>Click the "Score Results" button below. Note that the sheet used by the Administrator will also be scored.</t>
  </si>
  <si>
    <t xml:space="preserve">Select all of the files at the same time (hold down the ctrl key) and click Open. The results will be scored! </t>
  </si>
  <si>
    <t>last date 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</si>
</sst>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d/yy"/>
    <numFmt numFmtId="165" formatCode="&quot;$&quot;#,##0.00"/>
    <numFmt numFmtId="166" formatCode="0.0%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Arial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  <font>
      <strike/>
      <sz val="11"/>
      <color theme="0"/>
      <name val="Calibri"/>
      <family val="2"/>
      <scheme val="minor"/>
    </font>
    <font>
      <b/>
      <sz val="36"/>
      <name val="Arial"/>
      <family val="2"/>
    </font>
    <font>
      <sz val="11"/>
      <color rgb="FFFFFFFF"/>
      <name val="Calibri"/>
      <family val="2"/>
      <scheme val="minor"/>
    </font>
    <font>
      <b/>
      <sz val="36"/>
      <color rgb="FFFFFFFF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9"/>
      <color theme="0"/>
      <name val="Arial"/>
      <family val="2"/>
    </font>
    <font>
      <b/>
      <sz val="24"/>
      <color theme="0"/>
      <name val="Arial"/>
      <family val="2"/>
    </font>
    <font>
      <sz val="11"/>
      <color theme="1"/>
      <name val="Arial"/>
      <family val="2"/>
    </font>
    <font>
      <b/>
      <sz val="28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rgb="FFFFFFFF"/>
      <name val="Arial"/>
      <family val="2"/>
    </font>
    <font>
      <sz val="11"/>
      <color rgb="FFFFFFFF"/>
      <name val="Arial"/>
      <family val="2"/>
    </font>
    <font>
      <b/>
      <sz val="12"/>
      <color rgb="FFFFFFFF"/>
      <name val="Arial"/>
      <family val="2"/>
    </font>
    <font>
      <b/>
      <sz val="11"/>
      <color rgb="FFFFFFFF"/>
      <name val="Arial"/>
      <family val="2"/>
    </font>
    <font>
      <sz val="28"/>
      <color rgb="FFFFFFFF"/>
      <name val="Arial"/>
      <family val="2"/>
    </font>
    <font>
      <sz val="1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24"/>
      <name val="Arial"/>
      <family val="2"/>
    </font>
    <font>
      <sz val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6CA62C"/>
        <bgColor indexed="64"/>
      </patternFill>
    </fill>
    <fill>
      <patternFill patternType="solid">
        <fgColor rgb="FFD8C240"/>
        <bgColor indexed="64"/>
      </patternFill>
    </fill>
    <fill>
      <patternFill patternType="solid">
        <fgColor rgb="FF86B2DA"/>
        <bgColor indexed="64"/>
      </patternFill>
    </fill>
    <fill>
      <patternFill patternType="solid">
        <fgColor rgb="FFF07D0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A2538"/>
        <bgColor indexed="64"/>
      </patternFill>
    </fill>
    <fill>
      <gradientFill>
        <stop position="0">
          <color rgb="FF0A2538"/>
        </stop>
        <stop position="1">
          <color theme="0"/>
        </stop>
      </gradientFill>
    </fill>
    <fill>
      <patternFill patternType="solid">
        <fgColor rgb="FFFFAE40"/>
        <bgColor indexed="64"/>
      </patternFill>
    </fill>
    <fill>
      <patternFill patternType="solid">
        <fgColor rgb="FF1D6DA3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medium">
        <color rgb="FF4D4D4D"/>
      </left>
      <right style="medium">
        <color rgb="FF4D4D4D"/>
      </right>
      <top style="medium">
        <color rgb="FF4D4D4D"/>
      </top>
      <bottom style="medium">
        <color rgb="FF4D4D4D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9" fontId="10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2" fillId="2" borderId="0" xfId="0" applyFont="1" applyFill="1" applyBorder="1"/>
    <xf numFmtId="14" fontId="2" fillId="2" borderId="0" xfId="0" applyNumberFormat="1" applyFont="1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3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  <xf numFmtId="0" fontId="2" fillId="2" borderId="0" xfId="0" applyFont="1" applyFill="1" applyBorder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  <xf numFmtId="0" fontId="0" fillId="2" borderId="0" xfId="0" applyFill="1"/>
    <xf numFmtId="0" fontId="7" fillId="8" borderId="1" xfId="0" applyFont="1" applyFill="1" applyBorder="1" applyAlignment="1">
      <alignment horizontal="center" vertical="center"/>
    </xf>
    <xf numFmtId="0" fontId="4" fillId="8" borderId="0" xfId="0" applyFont="1" applyFill="1" applyBorder="1"/>
    <xf numFmtId="0" fontId="7" fillId="8" borderId="4" xfId="0" applyFont="1" applyFill="1" applyBorder="1" applyAlignment="1">
      <alignment horizontal="center" vertical="center"/>
    </xf>
    <xf numFmtId="0" fontId="8" fillId="9" borderId="0" xfId="0" applyFont="1" applyFill="1" applyBorder="1"/>
    <xf numFmtId="0" fontId="9" fillId="9" borderId="0" xfId="0" applyFont="1" applyFill="1" applyBorder="1" applyAlignment="1">
      <alignment vertical="center"/>
    </xf>
    <xf numFmtId="164" fontId="2" fillId="2" borderId="0" xfId="0" applyNumberFormat="1" applyFont="1" applyFill="1" applyBorder="1"/>
    <xf numFmtId="10" fontId="2" fillId="2" borderId="0" xfId="1" applyNumberFormat="1" applyFont="1" applyFill="1" applyBorder="1"/>
    <xf numFmtId="0" fontId="11" fillId="2" borderId="0" xfId="0" applyFont="1" applyFill="1" applyBorder="1"/>
    <xf numFmtId="0" fontId="14" fillId="2" borderId="0" xfId="0" applyFont="1" applyFill="1" applyBorder="1" applyAlignment="1">
      <alignment horizontal="center" vertical="center"/>
    </xf>
    <xf numFmtId="2" fontId="14" fillId="2" borderId="0" xfId="0" applyNumberFormat="1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top" wrapText="1"/>
    </xf>
    <xf numFmtId="9" fontId="14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16" fillId="4" borderId="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5" fillId="0" borderId="0" xfId="0" applyFont="1"/>
    <xf numFmtId="0" fontId="19" fillId="9" borderId="0" xfId="0" applyFont="1" applyFill="1"/>
    <xf numFmtId="0" fontId="21" fillId="9" borderId="0" xfId="0" applyFont="1" applyFill="1"/>
    <xf numFmtId="0" fontId="22" fillId="9" borderId="0" xfId="0" applyFont="1" applyFill="1" applyBorder="1"/>
    <xf numFmtId="0" fontId="18" fillId="9" borderId="2" xfId="0" applyFont="1" applyFill="1" applyBorder="1" applyAlignment="1">
      <alignment horizontal="center" vertical="center"/>
    </xf>
    <xf numFmtId="0" fontId="19" fillId="9" borderId="5" xfId="0" applyFont="1" applyFill="1" applyBorder="1"/>
    <xf numFmtId="0" fontId="23" fillId="0" borderId="0" xfId="0" applyFont="1" applyFill="1"/>
    <xf numFmtId="165" fontId="23" fillId="0" borderId="0" xfId="0" applyNumberFormat="1" applyFont="1" applyFill="1" applyAlignment="1">
      <alignment horizontal="center"/>
    </xf>
    <xf numFmtId="0" fontId="23" fillId="0" borderId="0" xfId="0" applyFont="1"/>
    <xf numFmtId="0" fontId="24" fillId="10" borderId="0" xfId="0" applyFont="1" applyFill="1" applyAlignment="1">
      <alignment horizontal="left" vertical="center" indent="1"/>
    </xf>
    <xf numFmtId="0" fontId="25" fillId="10" borderId="0" xfId="0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3" fillId="0" borderId="0" xfId="0" applyFont="1" applyFill="1" applyAlignment="1"/>
    <xf numFmtId="0" fontId="27" fillId="12" borderId="0" xfId="0" applyFont="1" applyFill="1"/>
    <xf numFmtId="0" fontId="27" fillId="0" borderId="0" xfId="0" applyFont="1" applyFill="1"/>
    <xf numFmtId="0" fontId="28" fillId="0" borderId="0" xfId="0" applyFont="1"/>
    <xf numFmtId="0" fontId="29" fillId="10" borderId="0" xfId="0" applyFont="1" applyFill="1"/>
    <xf numFmtId="0" fontId="28" fillId="8" borderId="0" xfId="0" applyFont="1" applyFill="1"/>
    <xf numFmtId="0" fontId="29" fillId="10" borderId="0" xfId="0" applyFont="1" applyFill="1" applyAlignment="1"/>
    <xf numFmtId="0" fontId="23" fillId="8" borderId="0" xfId="0" applyFont="1" applyFill="1"/>
    <xf numFmtId="0" fontId="31" fillId="10" borderId="0" xfId="0" applyFont="1" applyFill="1" applyAlignment="1">
      <alignment vertical="center" wrapText="1"/>
    </xf>
    <xf numFmtId="0" fontId="23" fillId="0" borderId="0" xfId="0" applyFont="1" applyAlignment="1">
      <alignment horizontal="left"/>
    </xf>
    <xf numFmtId="165" fontId="23" fillId="8" borderId="0" xfId="0" applyNumberFormat="1" applyFont="1" applyFill="1" applyAlignment="1">
      <alignment horizontal="center"/>
    </xf>
    <xf numFmtId="0" fontId="29" fillId="10" borderId="0" xfId="0" applyFont="1" applyFill="1" applyAlignment="1">
      <alignment horizontal="left" indent="1"/>
    </xf>
    <xf numFmtId="0" fontId="32" fillId="10" borderId="0" xfId="0" applyFont="1" applyFill="1"/>
    <xf numFmtId="0" fontId="32" fillId="10" borderId="0" xfId="0" applyFont="1" applyFill="1" applyAlignment="1">
      <alignment horizontal="left"/>
    </xf>
    <xf numFmtId="0" fontId="32" fillId="10" borderId="0" xfId="2" applyFont="1" applyFill="1" applyAlignment="1">
      <alignment horizontal="left"/>
    </xf>
    <xf numFmtId="0" fontId="29" fillId="10" borderId="0" xfId="0" applyFont="1" applyFill="1" applyAlignment="1">
      <alignment horizontal="right"/>
    </xf>
    <xf numFmtId="166" fontId="29" fillId="10" borderId="0" xfId="0" applyNumberFormat="1" applyFont="1" applyFill="1" applyAlignment="1">
      <alignment horizontal="center"/>
    </xf>
    <xf numFmtId="166" fontId="29" fillId="13" borderId="6" xfId="0" applyNumberFormat="1" applyFont="1" applyFill="1" applyBorder="1" applyAlignment="1" applyProtection="1">
      <alignment horizontal="center"/>
      <protection locked="0"/>
    </xf>
    <xf numFmtId="0" fontId="32" fillId="10" borderId="0" xfId="0" applyFont="1" applyFill="1" applyAlignment="1">
      <alignment vertical="center"/>
    </xf>
    <xf numFmtId="166" fontId="29" fillId="10" borderId="6" xfId="0" applyNumberFormat="1" applyFont="1" applyFill="1" applyBorder="1" applyAlignment="1" applyProtection="1">
      <alignment horizontal="center"/>
      <protection locked="0"/>
    </xf>
    <xf numFmtId="0" fontId="31" fillId="10" borderId="0" xfId="0" applyFont="1" applyFill="1" applyAlignment="1">
      <alignment horizontal="center" vertical="center" wrapText="1"/>
    </xf>
    <xf numFmtId="0" fontId="26" fillId="8" borderId="0" xfId="0" applyFont="1" applyFill="1" applyAlignment="1">
      <alignment horizontal="center" vertical="center"/>
    </xf>
    <xf numFmtId="0" fontId="0" fillId="15" borderId="7" xfId="0" applyFill="1" applyBorder="1"/>
    <xf numFmtId="9" fontId="0" fillId="15" borderId="7" xfId="1" applyNumberFormat="1" applyFont="1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0" fontId="17" fillId="14" borderId="0" xfId="0" applyFont="1" applyFill="1" applyBorder="1" applyAlignment="1">
      <alignment horizontal="center" wrapText="1"/>
    </xf>
    <xf numFmtId="0" fontId="17" fillId="14" borderId="8" xfId="0" applyFont="1" applyFill="1" applyBorder="1" applyAlignment="1">
      <alignment horizontal="center" wrapText="1"/>
    </xf>
    <xf numFmtId="0" fontId="4" fillId="2" borderId="0" xfId="0" applyFont="1" applyFill="1" applyBorder="1"/>
    <xf numFmtId="0" fontId="2" fillId="0" borderId="0" xfId="0" applyFont="1" applyFill="1" applyBorder="1"/>
    <xf numFmtId="0" fontId="4" fillId="0" borderId="0" xfId="0" applyFont="1" applyFill="1" applyBorder="1"/>
    <xf numFmtId="0" fontId="34" fillId="0" borderId="0" xfId="0" applyFont="1" applyFill="1" applyBorder="1"/>
    <xf numFmtId="0" fontId="35" fillId="0" borderId="0" xfId="0" applyFont="1" applyFill="1" applyBorder="1" applyAlignment="1">
      <alignment horizontal="center" vertical="center"/>
    </xf>
    <xf numFmtId="9" fontId="35" fillId="0" borderId="0" xfId="0" applyNumberFormat="1" applyFont="1" applyFill="1" applyBorder="1" applyAlignment="1">
      <alignment horizontal="center" vertical="center"/>
    </xf>
    <xf numFmtId="2" fontId="35" fillId="0" borderId="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top" wrapText="1"/>
    </xf>
    <xf numFmtId="0" fontId="8" fillId="9" borderId="0" xfId="0" applyFont="1" applyFill="1" applyBorder="1" applyAlignment="1">
      <alignment horizontal="right" wrapText="1"/>
    </xf>
    <xf numFmtId="0" fontId="12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/>
    </xf>
    <xf numFmtId="0" fontId="20" fillId="9" borderId="0" xfId="0" applyFont="1" applyFill="1" applyAlignment="1">
      <alignment horizontal="center" vertical="top"/>
    </xf>
    <xf numFmtId="0" fontId="26" fillId="11" borderId="0" xfId="0" applyFont="1" applyFill="1" applyAlignment="1">
      <alignment horizontal="center" vertical="center"/>
    </xf>
    <xf numFmtId="0" fontId="31" fillId="10" borderId="0" xfId="0" applyFont="1" applyFill="1" applyAlignment="1">
      <alignment horizontal="center" vertical="center" wrapText="1"/>
    </xf>
    <xf numFmtId="0" fontId="32" fillId="10" borderId="0" xfId="0" applyFont="1" applyFill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3">
    <dxf>
      <fill>
        <patternFill>
          <bgColor rgb="FFD9D9D9"/>
        </patternFill>
      </fill>
      <border>
        <top style="medium">
          <color theme="0"/>
        </top>
        <bottom style="medium">
          <color theme="0"/>
        </bottom>
      </border>
    </dxf>
    <dxf>
      <fill>
        <patternFill>
          <bgColor rgb="FF19A2D9"/>
        </patternFill>
      </fill>
      <border>
        <top style="medium">
          <color theme="0"/>
        </top>
        <bottom style="medium">
          <color theme="0"/>
        </bottom>
      </border>
    </dxf>
    <dxf>
      <font>
        <b/>
        <i val="0"/>
        <color theme="0"/>
      </font>
      <fill>
        <patternFill>
          <bgColor rgb="FF595959"/>
        </patternFill>
      </fill>
    </dxf>
    <dxf>
      <fill>
        <patternFill>
          <bgColor rgb="FFD9D9D9"/>
        </patternFill>
      </fill>
    </dxf>
    <dxf>
      <fill>
        <patternFill>
          <bgColor rgb="FF19A2D9"/>
        </patternFill>
      </fill>
    </dxf>
    <dxf>
      <font>
        <b/>
        <i val="0"/>
        <color theme="0"/>
      </font>
      <fill>
        <patternFill>
          <bgColor rgb="FF595959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theme="8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3" defaultTableStyle="TableStyleMedium2" defaultPivotStyle="PivotStyleLight16">
    <tableStyle name="Custom exrm" pivot="0" count="7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  <tableStyle name="EXRM" pivot="0" count="3">
      <tableStyleElement type="headerRow" dxfId="5"/>
      <tableStyleElement type="firstRowStripe" dxfId="4"/>
      <tableStyleElement type="secondRowStripe" dxfId="3"/>
    </tableStyle>
    <tableStyle name="EXRM 2" pivot="0" count="3">
      <tableStyleElement type="headerRow" dxfId="2"/>
      <tableStyleElement type="firstRowStripe" dxfId="1"/>
      <tableStyleElement type="secondRowStripe" dxfId="0"/>
    </tableStyle>
  </tableStyles>
  <colors>
    <mruColors>
      <color rgb="FF808080"/>
      <color rgb="FFD9D9D9"/>
      <color rgb="FF595959"/>
      <color rgb="FF19A2D9"/>
      <color rgb="FFFFAE40"/>
      <color rgb="FF0A2538"/>
      <color rgb="FF1D6DA3"/>
      <color rgb="FF404040"/>
      <color rgb="FF6CA62C"/>
      <color rgb="FF6D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Daily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Stats_dark!$C$8:$C$13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E-46AD-A464-5773C198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934918096"/>
        <c:axId val="1934921424"/>
      </c:barChart>
      <c:catAx>
        <c:axId val="1934918096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34921424"/>
        <c:crosses val="autoZero"/>
        <c:auto val="1"/>
        <c:lblAlgn val="ctr"/>
        <c:lblOffset val="100"/>
        <c:noMultiLvlLbl val="0"/>
      </c:catAx>
      <c:valAx>
        <c:axId val="19349214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349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Daily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Stats_dark!$I$8:$I$13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D-4562-B344-2770519BA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934918096"/>
        <c:axId val="1934921424"/>
      </c:barChart>
      <c:catAx>
        <c:axId val="1934918096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34921424"/>
        <c:crosses val="autoZero"/>
        <c:auto val="1"/>
        <c:lblAlgn val="ctr"/>
        <c:lblOffset val="100"/>
        <c:noMultiLvlLbl val="0"/>
      </c:catAx>
      <c:valAx>
        <c:axId val="19349214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349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Daily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Stats_light!$C$8:$C$13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1-496C-9266-D7C5B78BA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934918096"/>
        <c:axId val="1934921424"/>
      </c:barChart>
      <c:catAx>
        <c:axId val="1934918096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34921424"/>
        <c:crosses val="autoZero"/>
        <c:auto val="1"/>
        <c:lblAlgn val="ctr"/>
        <c:lblOffset val="100"/>
        <c:noMultiLvlLbl val="0"/>
      </c:catAx>
      <c:valAx>
        <c:axId val="19349214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349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Daily</c:v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Stats_light!$I$8:$I$13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07-457F-8374-A0D72B185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934918096"/>
        <c:axId val="1934921424"/>
      </c:barChart>
      <c:catAx>
        <c:axId val="1934918096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34921424"/>
        <c:crosses val="autoZero"/>
        <c:auto val="1"/>
        <c:lblAlgn val="ctr"/>
        <c:lblOffset val="100"/>
        <c:noMultiLvlLbl val="0"/>
      </c:catAx>
      <c:valAx>
        <c:axId val="19349214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349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xcelrainman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rainman.com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excelrainman.com/" TargetMode="Externa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xcelrainman.com/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www.facebook.com/ExcelRainMan" TargetMode="External"/><Relationship Id="rId7" Type="http://schemas.openxmlformats.org/officeDocument/2006/relationships/hyperlink" Target="https://www.instagram.com/excelrainman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xcelrainman.com/" TargetMode="External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https://view.genial.ly/611b1c998ad90d0d9f238577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www.linkedin.com/company/excel-rain-man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linkedin.com/company/excel-rain-man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www.facebook.com/ExcelRainMan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www.instagram.com/excelrainman/" TargetMode="External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https://excelrainman.com/" TargetMode="External"/><Relationship Id="rId4" Type="http://schemas.openxmlformats.org/officeDocument/2006/relationships/hyperlink" Target="https://view.genial.ly/611b1c998ad90d0d9f238577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411223</xdr:colOff>
      <xdr:row>21</xdr:row>
      <xdr:rowOff>146539</xdr:rowOff>
    </xdr:from>
    <xdr:to>
      <xdr:col>2</xdr:col>
      <xdr:colOff>236293</xdr:colOff>
      <xdr:row>26</xdr:row>
      <xdr:rowOff>87924</xdr:rowOff>
    </xdr:to>
    <xdr:sp macro="[0]!letter" textlink="">
      <xdr:nvSpPr>
        <xdr:cNvPr id="34" name="Key A"/>
        <xdr:cNvSpPr/>
      </xdr:nvSpPr>
      <xdr:spPr>
        <a:xfrm>
          <a:off x="1018442" y="6337789"/>
          <a:ext cx="432288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2</xdr:col>
      <xdr:colOff>324215</xdr:colOff>
      <xdr:row>21</xdr:row>
      <xdr:rowOff>146539</xdr:rowOff>
    </xdr:from>
    <xdr:to>
      <xdr:col>2</xdr:col>
      <xdr:colOff>756504</xdr:colOff>
      <xdr:row>26</xdr:row>
      <xdr:rowOff>87924</xdr:rowOff>
    </xdr:to>
    <xdr:sp macro="[0]!letter" textlink="">
      <xdr:nvSpPr>
        <xdr:cNvPr id="35" name="Key S"/>
        <xdr:cNvSpPr/>
      </xdr:nvSpPr>
      <xdr:spPr>
        <a:xfrm>
          <a:off x="1538653" y="6337789"/>
          <a:ext cx="432289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 editAs="oneCell">
    <xdr:from>
      <xdr:col>3</xdr:col>
      <xdr:colOff>82427</xdr:colOff>
      <xdr:row>21</xdr:row>
      <xdr:rowOff>146539</xdr:rowOff>
    </xdr:from>
    <xdr:to>
      <xdr:col>4</xdr:col>
      <xdr:colOff>419465</xdr:colOff>
      <xdr:row>26</xdr:row>
      <xdr:rowOff>87924</xdr:rowOff>
    </xdr:to>
    <xdr:sp macro="[0]!letter" textlink="">
      <xdr:nvSpPr>
        <xdr:cNvPr id="36" name="Key D"/>
        <xdr:cNvSpPr/>
      </xdr:nvSpPr>
      <xdr:spPr>
        <a:xfrm>
          <a:off x="2058865" y="6337789"/>
          <a:ext cx="432288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4</xdr:col>
      <xdr:colOff>507388</xdr:colOff>
      <xdr:row>21</xdr:row>
      <xdr:rowOff>146539</xdr:rowOff>
    </xdr:from>
    <xdr:to>
      <xdr:col>6</xdr:col>
      <xdr:colOff>82427</xdr:colOff>
      <xdr:row>26</xdr:row>
      <xdr:rowOff>87924</xdr:rowOff>
    </xdr:to>
    <xdr:sp macro="[0]!letter" textlink="">
      <xdr:nvSpPr>
        <xdr:cNvPr id="37" name="Key F"/>
        <xdr:cNvSpPr/>
      </xdr:nvSpPr>
      <xdr:spPr>
        <a:xfrm>
          <a:off x="2579076" y="6337789"/>
          <a:ext cx="432289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6</xdr:col>
      <xdr:colOff>170350</xdr:colOff>
      <xdr:row>21</xdr:row>
      <xdr:rowOff>146539</xdr:rowOff>
    </xdr:from>
    <xdr:to>
      <xdr:col>6</xdr:col>
      <xdr:colOff>602638</xdr:colOff>
      <xdr:row>26</xdr:row>
      <xdr:rowOff>87924</xdr:rowOff>
    </xdr:to>
    <xdr:sp macro="[0]!letter" textlink="">
      <xdr:nvSpPr>
        <xdr:cNvPr id="38" name="Key G"/>
        <xdr:cNvSpPr/>
      </xdr:nvSpPr>
      <xdr:spPr>
        <a:xfrm>
          <a:off x="3099288" y="6337789"/>
          <a:ext cx="432288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6</xdr:col>
      <xdr:colOff>690562</xdr:colOff>
      <xdr:row>21</xdr:row>
      <xdr:rowOff>146539</xdr:rowOff>
    </xdr:from>
    <xdr:to>
      <xdr:col>8</xdr:col>
      <xdr:colOff>265600</xdr:colOff>
      <xdr:row>26</xdr:row>
      <xdr:rowOff>87924</xdr:rowOff>
    </xdr:to>
    <xdr:sp macro="[0]!letter" textlink="">
      <xdr:nvSpPr>
        <xdr:cNvPr id="39" name="Key H"/>
        <xdr:cNvSpPr/>
      </xdr:nvSpPr>
      <xdr:spPr>
        <a:xfrm>
          <a:off x="3619500" y="6337789"/>
          <a:ext cx="432288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8</xdr:col>
      <xdr:colOff>353524</xdr:colOff>
      <xdr:row>21</xdr:row>
      <xdr:rowOff>146539</xdr:rowOff>
    </xdr:from>
    <xdr:to>
      <xdr:col>9</xdr:col>
      <xdr:colOff>23813</xdr:colOff>
      <xdr:row>26</xdr:row>
      <xdr:rowOff>87924</xdr:rowOff>
    </xdr:to>
    <xdr:sp macro="[0]!letter" textlink="">
      <xdr:nvSpPr>
        <xdr:cNvPr id="40" name="Key J"/>
        <xdr:cNvSpPr/>
      </xdr:nvSpPr>
      <xdr:spPr>
        <a:xfrm>
          <a:off x="4139712" y="6337789"/>
          <a:ext cx="432289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J</a:t>
          </a:r>
        </a:p>
      </xdr:txBody>
    </xdr:sp>
    <xdr:clientData/>
  </xdr:twoCellAnchor>
  <xdr:twoCellAnchor editAs="oneCell">
    <xdr:from>
      <xdr:col>10</xdr:col>
      <xdr:colOff>16485</xdr:colOff>
      <xdr:row>21</xdr:row>
      <xdr:rowOff>146539</xdr:rowOff>
    </xdr:from>
    <xdr:to>
      <xdr:col>10</xdr:col>
      <xdr:colOff>448773</xdr:colOff>
      <xdr:row>26</xdr:row>
      <xdr:rowOff>87924</xdr:rowOff>
    </xdr:to>
    <xdr:sp macro="[0]!letter" textlink="">
      <xdr:nvSpPr>
        <xdr:cNvPr id="41" name="Key K"/>
        <xdr:cNvSpPr/>
      </xdr:nvSpPr>
      <xdr:spPr>
        <a:xfrm>
          <a:off x="4659923" y="6337789"/>
          <a:ext cx="432288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K</a:t>
          </a:r>
        </a:p>
      </xdr:txBody>
    </xdr:sp>
    <xdr:clientData/>
  </xdr:twoCellAnchor>
  <xdr:twoCellAnchor editAs="oneCell">
    <xdr:from>
      <xdr:col>10</xdr:col>
      <xdr:colOff>536696</xdr:colOff>
      <xdr:row>21</xdr:row>
      <xdr:rowOff>146539</xdr:rowOff>
    </xdr:from>
    <xdr:to>
      <xdr:col>11</xdr:col>
      <xdr:colOff>206985</xdr:colOff>
      <xdr:row>26</xdr:row>
      <xdr:rowOff>87924</xdr:rowOff>
    </xdr:to>
    <xdr:sp macro="[0]!letter" textlink="">
      <xdr:nvSpPr>
        <xdr:cNvPr id="42" name="Key L"/>
        <xdr:cNvSpPr/>
      </xdr:nvSpPr>
      <xdr:spPr>
        <a:xfrm>
          <a:off x="5180134" y="6337789"/>
          <a:ext cx="432289" cy="893885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L</a:t>
          </a:r>
        </a:p>
      </xdr:txBody>
    </xdr:sp>
    <xdr:clientData/>
  </xdr:twoCellAnchor>
  <xdr:twoCellAnchor editAs="oneCell">
    <xdr:from>
      <xdr:col>1</xdr:col>
      <xdr:colOff>154780</xdr:colOff>
      <xdr:row>26</xdr:row>
      <xdr:rowOff>175847</xdr:rowOff>
    </xdr:from>
    <xdr:to>
      <xdr:col>2</xdr:col>
      <xdr:colOff>236293</xdr:colOff>
      <xdr:row>31</xdr:row>
      <xdr:rowOff>116316</xdr:rowOff>
    </xdr:to>
    <xdr:sp macro="[0]!enter" textlink="">
      <xdr:nvSpPr>
        <xdr:cNvPr id="43" name="Key ENTER"/>
        <xdr:cNvSpPr/>
      </xdr:nvSpPr>
      <xdr:spPr>
        <a:xfrm>
          <a:off x="761999" y="7319597"/>
          <a:ext cx="688731" cy="892969"/>
        </a:xfrm>
        <a:prstGeom prst="roundRect">
          <a:avLst>
            <a:gd name="adj" fmla="val 9299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ENTER</a:t>
          </a:r>
        </a:p>
      </xdr:txBody>
    </xdr:sp>
    <xdr:clientData/>
  </xdr:twoCellAnchor>
  <xdr:twoCellAnchor editAs="oneCell">
    <xdr:from>
      <xdr:col>2</xdr:col>
      <xdr:colOff>324215</xdr:colOff>
      <xdr:row>26</xdr:row>
      <xdr:rowOff>175847</xdr:rowOff>
    </xdr:from>
    <xdr:to>
      <xdr:col>2</xdr:col>
      <xdr:colOff>756504</xdr:colOff>
      <xdr:row>31</xdr:row>
      <xdr:rowOff>116316</xdr:rowOff>
    </xdr:to>
    <xdr:sp macro="[0]!letter" textlink="">
      <xdr:nvSpPr>
        <xdr:cNvPr id="44" name="Key Z"/>
        <xdr:cNvSpPr/>
      </xdr:nvSpPr>
      <xdr:spPr>
        <a:xfrm>
          <a:off x="1538653" y="7319597"/>
          <a:ext cx="432289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 editAs="oneCell">
    <xdr:from>
      <xdr:col>3</xdr:col>
      <xdr:colOff>82427</xdr:colOff>
      <xdr:row>26</xdr:row>
      <xdr:rowOff>175847</xdr:rowOff>
    </xdr:from>
    <xdr:to>
      <xdr:col>4</xdr:col>
      <xdr:colOff>419465</xdr:colOff>
      <xdr:row>31</xdr:row>
      <xdr:rowOff>116316</xdr:rowOff>
    </xdr:to>
    <xdr:sp macro="[0]!letter" textlink="">
      <xdr:nvSpPr>
        <xdr:cNvPr id="45" name="Key X"/>
        <xdr:cNvSpPr/>
      </xdr:nvSpPr>
      <xdr:spPr>
        <a:xfrm>
          <a:off x="2058865" y="7319597"/>
          <a:ext cx="432288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  <xdr:twoCellAnchor editAs="oneCell">
    <xdr:from>
      <xdr:col>4</xdr:col>
      <xdr:colOff>507388</xdr:colOff>
      <xdr:row>26</xdr:row>
      <xdr:rowOff>175847</xdr:rowOff>
    </xdr:from>
    <xdr:to>
      <xdr:col>6</xdr:col>
      <xdr:colOff>82427</xdr:colOff>
      <xdr:row>31</xdr:row>
      <xdr:rowOff>116316</xdr:rowOff>
    </xdr:to>
    <xdr:sp macro="[0]!letter" textlink="">
      <xdr:nvSpPr>
        <xdr:cNvPr id="46" name="Key C"/>
        <xdr:cNvSpPr/>
      </xdr:nvSpPr>
      <xdr:spPr>
        <a:xfrm>
          <a:off x="2579076" y="7319597"/>
          <a:ext cx="432289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6</xdr:col>
      <xdr:colOff>170350</xdr:colOff>
      <xdr:row>26</xdr:row>
      <xdr:rowOff>175847</xdr:rowOff>
    </xdr:from>
    <xdr:to>
      <xdr:col>6</xdr:col>
      <xdr:colOff>602638</xdr:colOff>
      <xdr:row>31</xdr:row>
      <xdr:rowOff>116316</xdr:rowOff>
    </xdr:to>
    <xdr:sp macro="[0]!letter" textlink="">
      <xdr:nvSpPr>
        <xdr:cNvPr id="47" name="Key V"/>
        <xdr:cNvSpPr/>
      </xdr:nvSpPr>
      <xdr:spPr>
        <a:xfrm>
          <a:off x="3099288" y="7319597"/>
          <a:ext cx="432288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 editAs="oneCell">
    <xdr:from>
      <xdr:col>6</xdr:col>
      <xdr:colOff>690562</xdr:colOff>
      <xdr:row>26</xdr:row>
      <xdr:rowOff>175847</xdr:rowOff>
    </xdr:from>
    <xdr:to>
      <xdr:col>8</xdr:col>
      <xdr:colOff>265600</xdr:colOff>
      <xdr:row>31</xdr:row>
      <xdr:rowOff>116316</xdr:rowOff>
    </xdr:to>
    <xdr:sp macro="[0]!letter" textlink="">
      <xdr:nvSpPr>
        <xdr:cNvPr id="48" name="Key B"/>
        <xdr:cNvSpPr/>
      </xdr:nvSpPr>
      <xdr:spPr>
        <a:xfrm>
          <a:off x="3619500" y="7319597"/>
          <a:ext cx="432288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8</xdr:col>
      <xdr:colOff>353524</xdr:colOff>
      <xdr:row>26</xdr:row>
      <xdr:rowOff>175847</xdr:rowOff>
    </xdr:from>
    <xdr:to>
      <xdr:col>9</xdr:col>
      <xdr:colOff>23813</xdr:colOff>
      <xdr:row>31</xdr:row>
      <xdr:rowOff>116316</xdr:rowOff>
    </xdr:to>
    <xdr:sp macro="[0]!letter" textlink="">
      <xdr:nvSpPr>
        <xdr:cNvPr id="49" name="Key N"/>
        <xdr:cNvSpPr/>
      </xdr:nvSpPr>
      <xdr:spPr>
        <a:xfrm>
          <a:off x="4139712" y="7319597"/>
          <a:ext cx="432289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 editAs="oneCell">
    <xdr:from>
      <xdr:col>10</xdr:col>
      <xdr:colOff>16485</xdr:colOff>
      <xdr:row>26</xdr:row>
      <xdr:rowOff>175847</xdr:rowOff>
    </xdr:from>
    <xdr:to>
      <xdr:col>10</xdr:col>
      <xdr:colOff>448773</xdr:colOff>
      <xdr:row>31</xdr:row>
      <xdr:rowOff>116316</xdr:rowOff>
    </xdr:to>
    <xdr:sp macro="[0]!letter" textlink="">
      <xdr:nvSpPr>
        <xdr:cNvPr id="50" name="Key M"/>
        <xdr:cNvSpPr/>
      </xdr:nvSpPr>
      <xdr:spPr>
        <a:xfrm>
          <a:off x="4659923" y="7319597"/>
          <a:ext cx="432288" cy="892969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</a:t>
          </a:r>
        </a:p>
      </xdr:txBody>
    </xdr:sp>
    <xdr:clientData/>
  </xdr:twoCellAnchor>
  <xdr:twoCellAnchor editAs="oneCell">
    <xdr:from>
      <xdr:col>10</xdr:col>
      <xdr:colOff>536696</xdr:colOff>
      <xdr:row>26</xdr:row>
      <xdr:rowOff>175847</xdr:rowOff>
    </xdr:from>
    <xdr:to>
      <xdr:col>11</xdr:col>
      <xdr:colOff>470753</xdr:colOff>
      <xdr:row>31</xdr:row>
      <xdr:rowOff>116316</xdr:rowOff>
    </xdr:to>
    <xdr:sp macro="[0]!backspc" textlink="">
      <xdr:nvSpPr>
        <xdr:cNvPr id="51" name="Key back"/>
        <xdr:cNvSpPr/>
      </xdr:nvSpPr>
      <xdr:spPr>
        <a:xfrm>
          <a:off x="5180134" y="7319597"/>
          <a:ext cx="696057" cy="892969"/>
        </a:xfrm>
        <a:prstGeom prst="roundRect">
          <a:avLst>
            <a:gd name="adj" fmla="val 9249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Wingdings" panose="05000000000000000000" pitchFamily="2" charset="2"/>
            </a:rPr>
            <a:t>Õ</a:t>
          </a:r>
        </a:p>
      </xdr:txBody>
    </xdr:sp>
    <xdr:clientData/>
  </xdr:twoCellAnchor>
  <xdr:twoCellAnchor editAs="oneCell">
    <xdr:from>
      <xdr:col>1</xdr:col>
      <xdr:colOff>154780</xdr:colOff>
      <xdr:row>16</xdr:row>
      <xdr:rowOff>119063</xdr:rowOff>
    </xdr:from>
    <xdr:to>
      <xdr:col>1</xdr:col>
      <xdr:colOff>587068</xdr:colOff>
      <xdr:row>21</xdr:row>
      <xdr:rowOff>58616</xdr:rowOff>
    </xdr:to>
    <xdr:sp macro="[0]!letter" textlink="">
      <xdr:nvSpPr>
        <xdr:cNvPr id="52" name="Key Q"/>
        <xdr:cNvSpPr/>
      </xdr:nvSpPr>
      <xdr:spPr>
        <a:xfrm>
          <a:off x="761999" y="5357813"/>
          <a:ext cx="432288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 editAs="oneCell">
    <xdr:from>
      <xdr:col>2</xdr:col>
      <xdr:colOff>67772</xdr:colOff>
      <xdr:row>16</xdr:row>
      <xdr:rowOff>119063</xdr:rowOff>
    </xdr:from>
    <xdr:to>
      <xdr:col>2</xdr:col>
      <xdr:colOff>500061</xdr:colOff>
      <xdr:row>21</xdr:row>
      <xdr:rowOff>58616</xdr:rowOff>
    </xdr:to>
    <xdr:sp macro="[0]!letter" textlink="">
      <xdr:nvSpPr>
        <xdr:cNvPr id="53" name="Key W"/>
        <xdr:cNvSpPr/>
      </xdr:nvSpPr>
      <xdr:spPr>
        <a:xfrm>
          <a:off x="1282210" y="5357813"/>
          <a:ext cx="432289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 editAs="oneCell">
    <xdr:from>
      <xdr:col>2</xdr:col>
      <xdr:colOff>587984</xdr:colOff>
      <xdr:row>16</xdr:row>
      <xdr:rowOff>119063</xdr:rowOff>
    </xdr:from>
    <xdr:to>
      <xdr:col>4</xdr:col>
      <xdr:colOff>163022</xdr:colOff>
      <xdr:row>21</xdr:row>
      <xdr:rowOff>58616</xdr:rowOff>
    </xdr:to>
    <xdr:sp macro="[0]!letter" textlink="">
      <xdr:nvSpPr>
        <xdr:cNvPr id="54" name="Key E"/>
        <xdr:cNvSpPr/>
      </xdr:nvSpPr>
      <xdr:spPr>
        <a:xfrm>
          <a:off x="1802422" y="5357813"/>
          <a:ext cx="432288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4</xdr:col>
      <xdr:colOff>250945</xdr:colOff>
      <xdr:row>16</xdr:row>
      <xdr:rowOff>119063</xdr:rowOff>
    </xdr:from>
    <xdr:to>
      <xdr:col>4</xdr:col>
      <xdr:colOff>683234</xdr:colOff>
      <xdr:row>21</xdr:row>
      <xdr:rowOff>58616</xdr:rowOff>
    </xdr:to>
    <xdr:sp macro="[0]!letter" textlink="">
      <xdr:nvSpPr>
        <xdr:cNvPr id="55" name="Key R"/>
        <xdr:cNvSpPr/>
      </xdr:nvSpPr>
      <xdr:spPr>
        <a:xfrm>
          <a:off x="2322633" y="5357813"/>
          <a:ext cx="432289" cy="892053"/>
        </a:xfrm>
        <a:prstGeom prst="roundRect">
          <a:avLst>
            <a:gd name="adj" fmla="val 14891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 editAs="oneCell">
    <xdr:from>
      <xdr:col>5</xdr:col>
      <xdr:colOff>9157</xdr:colOff>
      <xdr:row>16</xdr:row>
      <xdr:rowOff>119063</xdr:rowOff>
    </xdr:from>
    <xdr:to>
      <xdr:col>6</xdr:col>
      <xdr:colOff>346195</xdr:colOff>
      <xdr:row>21</xdr:row>
      <xdr:rowOff>58616</xdr:rowOff>
    </xdr:to>
    <xdr:sp macro="[0]!letter" textlink="">
      <xdr:nvSpPr>
        <xdr:cNvPr id="56" name="Key T"/>
        <xdr:cNvSpPr/>
      </xdr:nvSpPr>
      <xdr:spPr>
        <a:xfrm>
          <a:off x="2842845" y="5357813"/>
          <a:ext cx="432288" cy="892053"/>
        </a:xfrm>
        <a:prstGeom prst="roundRect">
          <a:avLst>
            <a:gd name="adj" fmla="val 14689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T</a:t>
          </a:r>
        </a:p>
      </xdr:txBody>
    </xdr:sp>
    <xdr:clientData/>
  </xdr:twoCellAnchor>
  <xdr:twoCellAnchor editAs="oneCell">
    <xdr:from>
      <xdr:col>6</xdr:col>
      <xdr:colOff>434119</xdr:colOff>
      <xdr:row>16</xdr:row>
      <xdr:rowOff>119063</xdr:rowOff>
    </xdr:from>
    <xdr:to>
      <xdr:col>8</xdr:col>
      <xdr:colOff>9157</xdr:colOff>
      <xdr:row>21</xdr:row>
      <xdr:rowOff>58616</xdr:rowOff>
    </xdr:to>
    <xdr:sp macro="[0]!letter" textlink="">
      <xdr:nvSpPr>
        <xdr:cNvPr id="57" name="Key Y"/>
        <xdr:cNvSpPr/>
      </xdr:nvSpPr>
      <xdr:spPr>
        <a:xfrm>
          <a:off x="3363057" y="5357813"/>
          <a:ext cx="432288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 editAs="oneCell">
    <xdr:from>
      <xdr:col>8</xdr:col>
      <xdr:colOff>97081</xdr:colOff>
      <xdr:row>16</xdr:row>
      <xdr:rowOff>119063</xdr:rowOff>
    </xdr:from>
    <xdr:to>
      <xdr:col>8</xdr:col>
      <xdr:colOff>529370</xdr:colOff>
      <xdr:row>21</xdr:row>
      <xdr:rowOff>58616</xdr:rowOff>
    </xdr:to>
    <xdr:sp macro="[0]!letter" textlink="">
      <xdr:nvSpPr>
        <xdr:cNvPr id="58" name="Key U"/>
        <xdr:cNvSpPr/>
      </xdr:nvSpPr>
      <xdr:spPr>
        <a:xfrm>
          <a:off x="3883269" y="5357813"/>
          <a:ext cx="432289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U</a:t>
          </a:r>
        </a:p>
      </xdr:txBody>
    </xdr:sp>
    <xdr:clientData/>
  </xdr:twoCellAnchor>
  <xdr:twoCellAnchor editAs="oneCell">
    <xdr:from>
      <xdr:col>8</xdr:col>
      <xdr:colOff>617292</xdr:colOff>
      <xdr:row>16</xdr:row>
      <xdr:rowOff>119063</xdr:rowOff>
    </xdr:from>
    <xdr:to>
      <xdr:col>10</xdr:col>
      <xdr:colOff>192330</xdr:colOff>
      <xdr:row>21</xdr:row>
      <xdr:rowOff>58616</xdr:rowOff>
    </xdr:to>
    <xdr:sp macro="[0]!letter" textlink="">
      <xdr:nvSpPr>
        <xdr:cNvPr id="59" name="Key I"/>
        <xdr:cNvSpPr/>
      </xdr:nvSpPr>
      <xdr:spPr>
        <a:xfrm>
          <a:off x="4403480" y="5357813"/>
          <a:ext cx="432288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10</xdr:col>
      <xdr:colOff>280253</xdr:colOff>
      <xdr:row>16</xdr:row>
      <xdr:rowOff>119063</xdr:rowOff>
    </xdr:from>
    <xdr:to>
      <xdr:col>10</xdr:col>
      <xdr:colOff>712542</xdr:colOff>
      <xdr:row>21</xdr:row>
      <xdr:rowOff>58616</xdr:rowOff>
    </xdr:to>
    <xdr:sp macro="[0]!letter" textlink="">
      <xdr:nvSpPr>
        <xdr:cNvPr id="60" name="Key O"/>
        <xdr:cNvSpPr/>
      </xdr:nvSpPr>
      <xdr:spPr>
        <a:xfrm>
          <a:off x="4923691" y="5357813"/>
          <a:ext cx="432289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O</a:t>
          </a:r>
        </a:p>
      </xdr:txBody>
    </xdr:sp>
    <xdr:clientData/>
  </xdr:twoCellAnchor>
  <xdr:twoCellAnchor editAs="oneCell">
    <xdr:from>
      <xdr:col>11</xdr:col>
      <xdr:colOff>38465</xdr:colOff>
      <xdr:row>16</xdr:row>
      <xdr:rowOff>119063</xdr:rowOff>
    </xdr:from>
    <xdr:to>
      <xdr:col>11</xdr:col>
      <xdr:colOff>470753</xdr:colOff>
      <xdr:row>21</xdr:row>
      <xdr:rowOff>58616</xdr:rowOff>
    </xdr:to>
    <xdr:sp macro="[0]!letter" textlink="">
      <xdr:nvSpPr>
        <xdr:cNvPr id="61" name="Key P"/>
        <xdr:cNvSpPr/>
      </xdr:nvSpPr>
      <xdr:spPr>
        <a:xfrm>
          <a:off x="5443903" y="5357813"/>
          <a:ext cx="432288" cy="892053"/>
        </a:xfrm>
        <a:prstGeom prst="roundRect">
          <a:avLst>
            <a:gd name="adj" fmla="val 14815"/>
          </a:avLst>
        </a:prstGeom>
        <a:solidFill>
          <a:srgbClr val="A6A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  <xdr:twoCellAnchor>
    <xdr:from>
      <xdr:col>1</xdr:col>
      <xdr:colOff>0</xdr:colOff>
      <xdr:row>0</xdr:row>
      <xdr:rowOff>190499</xdr:rowOff>
    </xdr:from>
    <xdr:to>
      <xdr:col>12</xdr:col>
      <xdr:colOff>0</xdr:colOff>
      <xdr:row>3</xdr:row>
      <xdr:rowOff>204106</xdr:rowOff>
    </xdr:to>
    <xdr:sp macro="" textlink="">
      <xdr:nvSpPr>
        <xdr:cNvPr id="2" name="title"/>
        <xdr:cNvSpPr/>
      </xdr:nvSpPr>
      <xdr:spPr>
        <a:xfrm>
          <a:off x="1905000" y="190499"/>
          <a:ext cx="5415643" cy="1347107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36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Arial" panose="020B0604020202020204" pitchFamily="34" charset="0"/>
              <a:cs typeface="Arial" panose="020B0604020202020204" pitchFamily="34" charset="0"/>
            </a:rPr>
            <a:t>WORDLE</a:t>
          </a:r>
        </a:p>
      </xdr:txBody>
    </xdr:sp>
    <xdr:clientData/>
  </xdr:twoCellAnchor>
  <xdr:twoCellAnchor>
    <xdr:from>
      <xdr:col>21</xdr:col>
      <xdr:colOff>571500</xdr:colOff>
      <xdr:row>11</xdr:row>
      <xdr:rowOff>653143</xdr:rowOff>
    </xdr:from>
    <xdr:to>
      <xdr:col>24</xdr:col>
      <xdr:colOff>274864</xdr:colOff>
      <xdr:row>13</xdr:row>
      <xdr:rowOff>710293</xdr:rowOff>
    </xdr:to>
    <xdr:sp macro="[0]!reset" textlink="">
      <xdr:nvSpPr>
        <xdr:cNvPr id="4" name="resetbutton"/>
        <xdr:cNvSpPr/>
      </xdr:nvSpPr>
      <xdr:spPr>
        <a:xfrm>
          <a:off x="14001750" y="4204607"/>
          <a:ext cx="1540328" cy="9144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</a:p>
      </xdr:txBody>
    </xdr:sp>
    <xdr:clientData/>
  </xdr:twoCellAnchor>
  <xdr:twoCellAnchor>
    <xdr:from>
      <xdr:col>11</xdr:col>
      <xdr:colOff>598714</xdr:colOff>
      <xdr:row>5</xdr:row>
      <xdr:rowOff>0</xdr:rowOff>
    </xdr:from>
    <xdr:to>
      <xdr:col>12</xdr:col>
      <xdr:colOff>1357992</xdr:colOff>
      <xdr:row>6</xdr:row>
      <xdr:rowOff>0</xdr:rowOff>
    </xdr:to>
    <xdr:sp macro="[0]!todayword" textlink="">
      <xdr:nvSpPr>
        <xdr:cNvPr id="67" name="todaywordle"/>
        <xdr:cNvSpPr/>
      </xdr:nvSpPr>
      <xdr:spPr>
        <a:xfrm>
          <a:off x="7307035" y="1360714"/>
          <a:ext cx="1371600" cy="762000"/>
        </a:xfrm>
        <a:prstGeom prst="roundRect">
          <a:avLst/>
        </a:prstGeom>
        <a:solidFill>
          <a:srgbClr val="40404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Get today's Wordle</a:t>
          </a:r>
        </a:p>
      </xdr:txBody>
    </xdr:sp>
    <xdr:clientData/>
  </xdr:twoCellAnchor>
  <xdr:twoCellAnchor>
    <xdr:from>
      <xdr:col>11</xdr:col>
      <xdr:colOff>612321</xdr:colOff>
      <xdr:row>9</xdr:row>
      <xdr:rowOff>0</xdr:rowOff>
    </xdr:from>
    <xdr:to>
      <xdr:col>12</xdr:col>
      <xdr:colOff>1371599</xdr:colOff>
      <xdr:row>10</xdr:row>
      <xdr:rowOff>0</xdr:rowOff>
    </xdr:to>
    <xdr:sp macro="[0]!toggle_dark_light" textlink="">
      <xdr:nvSpPr>
        <xdr:cNvPr id="74" name="lightdark"/>
        <xdr:cNvSpPr/>
      </xdr:nvSpPr>
      <xdr:spPr>
        <a:xfrm>
          <a:off x="6939642" y="3075214"/>
          <a:ext cx="1371600" cy="762000"/>
        </a:xfrm>
        <a:prstGeom prst="roundRect">
          <a:avLst/>
        </a:prstGeom>
        <a:solidFill>
          <a:srgbClr val="40404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>
              <a:latin typeface="Arial" panose="020B0604020202020204" pitchFamily="34" charset="0"/>
              <a:cs typeface="Arial" panose="020B0604020202020204" pitchFamily="34" charset="0"/>
            </a:rPr>
            <a:t>Light/Dark Mode: DARK</a:t>
          </a:r>
        </a:p>
      </xdr:txBody>
    </xdr:sp>
    <xdr:clientData/>
  </xdr:twoCellAnchor>
  <xdr:twoCellAnchor>
    <xdr:from>
      <xdr:col>11</xdr:col>
      <xdr:colOff>612321</xdr:colOff>
      <xdr:row>11</xdr:row>
      <xdr:rowOff>0</xdr:rowOff>
    </xdr:from>
    <xdr:to>
      <xdr:col>12</xdr:col>
      <xdr:colOff>1371599</xdr:colOff>
      <xdr:row>12</xdr:row>
      <xdr:rowOff>0</xdr:rowOff>
    </xdr:to>
    <xdr:sp macro="[0]!color_mode" textlink="">
      <xdr:nvSpPr>
        <xdr:cNvPr id="75" name="colorblind"/>
        <xdr:cNvSpPr/>
      </xdr:nvSpPr>
      <xdr:spPr>
        <a:xfrm>
          <a:off x="6939642" y="3932464"/>
          <a:ext cx="1371600" cy="762000"/>
        </a:xfrm>
        <a:prstGeom prst="roundRect">
          <a:avLst/>
        </a:prstGeom>
        <a:solidFill>
          <a:srgbClr val="40404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Colorblind Mode: OFF</a:t>
          </a:r>
        </a:p>
      </xdr:txBody>
    </xdr:sp>
    <xdr:clientData/>
  </xdr:twoCellAnchor>
  <xdr:twoCellAnchor>
    <xdr:from>
      <xdr:col>11</xdr:col>
      <xdr:colOff>612321</xdr:colOff>
      <xdr:row>13</xdr:row>
      <xdr:rowOff>0</xdr:rowOff>
    </xdr:from>
    <xdr:to>
      <xdr:col>12</xdr:col>
      <xdr:colOff>1371599</xdr:colOff>
      <xdr:row>14</xdr:row>
      <xdr:rowOff>0</xdr:rowOff>
    </xdr:to>
    <xdr:sp macro="[0]!randword" textlink="">
      <xdr:nvSpPr>
        <xdr:cNvPr id="76" name="randomwordle"/>
        <xdr:cNvSpPr/>
      </xdr:nvSpPr>
      <xdr:spPr>
        <a:xfrm>
          <a:off x="6939642" y="4789714"/>
          <a:ext cx="1371600" cy="762000"/>
        </a:xfrm>
        <a:prstGeom prst="roundRect">
          <a:avLst/>
        </a:prstGeom>
        <a:solidFill>
          <a:srgbClr val="A6A6A6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Get Random Wordle</a:t>
          </a:r>
        </a:p>
      </xdr:txBody>
    </xdr:sp>
    <xdr:clientData/>
  </xdr:twoCellAnchor>
  <xdr:twoCellAnchor>
    <xdr:from>
      <xdr:col>11</xdr:col>
      <xdr:colOff>612321</xdr:colOff>
      <xdr:row>7</xdr:row>
      <xdr:rowOff>0</xdr:rowOff>
    </xdr:from>
    <xdr:to>
      <xdr:col>12</xdr:col>
      <xdr:colOff>1371599</xdr:colOff>
      <xdr:row>8</xdr:row>
      <xdr:rowOff>0</xdr:rowOff>
    </xdr:to>
    <xdr:sp macro="[0]!hardmode" textlink="">
      <xdr:nvSpPr>
        <xdr:cNvPr id="77" name="hardmodes"/>
        <xdr:cNvSpPr/>
      </xdr:nvSpPr>
      <xdr:spPr>
        <a:xfrm>
          <a:off x="6939642" y="2217964"/>
          <a:ext cx="1371600" cy="762000"/>
        </a:xfrm>
        <a:prstGeom prst="roundRect">
          <a:avLst/>
        </a:prstGeom>
        <a:solidFill>
          <a:srgbClr val="40404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Hard Mode: OFF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12</xdr:col>
      <xdr:colOff>1371600</xdr:colOff>
      <xdr:row>16</xdr:row>
      <xdr:rowOff>0</xdr:rowOff>
    </xdr:to>
    <xdr:sp macro="[0]!copy_clip" textlink="">
      <xdr:nvSpPr>
        <xdr:cNvPr id="62" name="shareresults" hidden="1"/>
        <xdr:cNvSpPr/>
      </xdr:nvSpPr>
      <xdr:spPr>
        <a:xfrm>
          <a:off x="6939643" y="5646964"/>
          <a:ext cx="1371600" cy="762000"/>
        </a:xfrm>
        <a:prstGeom prst="roundRect">
          <a:avLst/>
        </a:prstGeom>
        <a:solidFill>
          <a:srgbClr val="6CA62C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Share Results</a:t>
          </a:r>
        </a:p>
      </xdr:txBody>
    </xdr:sp>
    <xdr:clientData/>
  </xdr:twoCellAnchor>
  <xdr:twoCellAnchor editAs="oneCell">
    <xdr:from>
      <xdr:col>12</xdr:col>
      <xdr:colOff>345621</xdr:colOff>
      <xdr:row>1</xdr:row>
      <xdr:rowOff>47922</xdr:rowOff>
    </xdr:from>
    <xdr:to>
      <xdr:col>12</xdr:col>
      <xdr:colOff>998763</xdr:colOff>
      <xdr:row>3</xdr:row>
      <xdr:rowOff>129560</xdr:rowOff>
    </xdr:to>
    <xdr:sp macro="[0]!setting_disp" textlink="">
      <xdr:nvSpPr>
        <xdr:cNvPr id="3" name="settingbutton"/>
        <xdr:cNvSpPr/>
      </xdr:nvSpPr>
      <xdr:spPr>
        <a:xfrm>
          <a:off x="7666264" y="1000422"/>
          <a:ext cx="653142" cy="462638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@</a:t>
          </a:r>
        </a:p>
      </xdr:txBody>
    </xdr:sp>
    <xdr:clientData/>
  </xdr:twoCellAnchor>
  <xdr:twoCellAnchor>
    <xdr:from>
      <xdr:col>28</xdr:col>
      <xdr:colOff>176893</xdr:colOff>
      <xdr:row>14</xdr:row>
      <xdr:rowOff>81643</xdr:rowOff>
    </xdr:from>
    <xdr:to>
      <xdr:col>30</xdr:col>
      <xdr:colOff>136072</xdr:colOff>
      <xdr:row>15</xdr:row>
      <xdr:rowOff>612322</xdr:rowOff>
    </xdr:to>
    <xdr:sp macro="[0]!reset_stats" textlink="">
      <xdr:nvSpPr>
        <xdr:cNvPr id="63" name="resetbutton"/>
        <xdr:cNvSpPr/>
      </xdr:nvSpPr>
      <xdr:spPr>
        <a:xfrm>
          <a:off x="18655393" y="5633357"/>
          <a:ext cx="1319893" cy="625929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reset stats</a:t>
          </a:r>
        </a:p>
      </xdr:txBody>
    </xdr:sp>
    <xdr:clientData/>
  </xdr:twoCellAnchor>
  <xdr:twoCellAnchor editAs="oneCell">
    <xdr:from>
      <xdr:col>10</xdr:col>
      <xdr:colOff>740230</xdr:colOff>
      <xdr:row>1</xdr:row>
      <xdr:rowOff>47922</xdr:rowOff>
    </xdr:from>
    <xdr:to>
      <xdr:col>12</xdr:col>
      <xdr:colOff>19050</xdr:colOff>
      <xdr:row>3</xdr:row>
      <xdr:rowOff>129560</xdr:rowOff>
    </xdr:to>
    <xdr:sp macro="[0]!goto_stats" textlink="">
      <xdr:nvSpPr>
        <xdr:cNvPr id="64" name="statbutton"/>
        <xdr:cNvSpPr/>
      </xdr:nvSpPr>
      <xdr:spPr>
        <a:xfrm>
          <a:off x="6686551" y="1000422"/>
          <a:ext cx="653142" cy="462638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</a:t>
          </a:r>
          <a:r>
            <a:rPr lang="en-US" sz="40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 </a:t>
          </a:r>
        </a:p>
      </xdr:txBody>
    </xdr:sp>
    <xdr:clientData/>
  </xdr:twoCellAnchor>
  <xdr:twoCellAnchor>
    <xdr:from>
      <xdr:col>2</xdr:col>
      <xdr:colOff>231322</xdr:colOff>
      <xdr:row>0</xdr:row>
      <xdr:rowOff>285750</xdr:rowOff>
    </xdr:from>
    <xdr:to>
      <xdr:col>10</xdr:col>
      <xdr:colOff>530679</xdr:colOff>
      <xdr:row>0</xdr:row>
      <xdr:rowOff>734786</xdr:rowOff>
    </xdr:to>
    <xdr:sp macro="" textlink="" fLocksText="0">
      <xdr:nvSpPr>
        <xdr:cNvPr id="7" name="nameinput"/>
        <xdr:cNvSpPr/>
      </xdr:nvSpPr>
      <xdr:spPr>
        <a:xfrm>
          <a:off x="2748643" y="285750"/>
          <a:ext cx="3728357" cy="449036"/>
        </a:xfrm>
        <a:prstGeom prst="rect">
          <a:avLst/>
        </a:prstGeom>
        <a:solidFill>
          <a:srgbClr val="404040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6304" rtlCol="0" anchor="ctr"/>
        <a:lstStyle/>
        <a:p>
          <a:pPr algn="l"/>
          <a:r>
            <a:rPr lang="en-US" sz="2400"/>
            <a:t>Lucas</a:t>
          </a:r>
        </a:p>
      </xdr:txBody>
    </xdr:sp>
    <xdr:clientData/>
  </xdr:twoCellAnchor>
  <xdr:twoCellAnchor>
    <xdr:from>
      <xdr:col>0</xdr:col>
      <xdr:colOff>1524002</xdr:colOff>
      <xdr:row>0</xdr:row>
      <xdr:rowOff>285750</xdr:rowOff>
    </xdr:from>
    <xdr:to>
      <xdr:col>2</xdr:col>
      <xdr:colOff>217717</xdr:colOff>
      <xdr:row>0</xdr:row>
      <xdr:rowOff>734786</xdr:rowOff>
    </xdr:to>
    <xdr:sp macro="" textlink="">
      <xdr:nvSpPr>
        <xdr:cNvPr id="66" name="namelbl"/>
        <xdr:cNvSpPr/>
      </xdr:nvSpPr>
      <xdr:spPr>
        <a:xfrm>
          <a:off x="1524002" y="285750"/>
          <a:ext cx="1211036" cy="449036"/>
        </a:xfrm>
        <a:prstGeom prst="rect">
          <a:avLst/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4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Name:</a:t>
          </a:r>
        </a:p>
      </xdr:txBody>
    </xdr:sp>
    <xdr:clientData/>
  </xdr:twoCellAnchor>
  <xdr:twoCellAnchor editAs="oneCell">
    <xdr:from>
      <xdr:col>12</xdr:col>
      <xdr:colOff>911678</xdr:colOff>
      <xdr:row>29</xdr:row>
      <xdr:rowOff>163285</xdr:rowOff>
    </xdr:from>
    <xdr:to>
      <xdr:col>12</xdr:col>
      <xdr:colOff>1789383</xdr:colOff>
      <xdr:row>32</xdr:row>
      <xdr:rowOff>140425</xdr:rowOff>
    </xdr:to>
    <xdr:pic>
      <xdr:nvPicPr>
        <xdr:cNvPr id="65" name="Picture 64" descr="Excel Rain Man - Crunchbase Company Profile &amp;amp; Fundi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8232321" y="9429749"/>
          <a:ext cx="877705" cy="548640"/>
        </a:xfrm>
        <a:prstGeom prst="rect">
          <a:avLst/>
        </a:prstGeom>
        <a:noFill/>
        <a:ln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1461409</xdr:colOff>
      <xdr:row>0</xdr:row>
      <xdr:rowOff>870857</xdr:rowOff>
    </xdr:from>
    <xdr:to>
      <xdr:col>1</xdr:col>
      <xdr:colOff>209551</xdr:colOff>
      <xdr:row>3</xdr:row>
      <xdr:rowOff>190500</xdr:rowOff>
    </xdr:to>
    <xdr:sp macro="[0]!goto_instructions" textlink="">
      <xdr:nvSpPr>
        <xdr:cNvPr id="68" name="instrbutton1"/>
        <xdr:cNvSpPr/>
      </xdr:nvSpPr>
      <xdr:spPr>
        <a:xfrm>
          <a:off x="1461409" y="870857"/>
          <a:ext cx="653142" cy="6531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+mn-lt"/>
              <a:ea typeface="Source Code Pro Medium" panose="020B0509030403020204" pitchFamily="49" charset="0"/>
            </a:rPr>
            <a:t>⃝</a:t>
          </a:r>
          <a:r>
            <a:rPr lang="en-US" sz="36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 </a:t>
          </a:r>
        </a:p>
      </xdr:txBody>
    </xdr:sp>
    <xdr:clientData/>
  </xdr:twoCellAnchor>
  <xdr:twoCellAnchor editAs="oneCell">
    <xdr:from>
      <xdr:col>0</xdr:col>
      <xdr:colOff>1461408</xdr:colOff>
      <xdr:row>1</xdr:row>
      <xdr:rowOff>20708</xdr:rowOff>
    </xdr:from>
    <xdr:to>
      <xdr:col>1</xdr:col>
      <xdr:colOff>209550</xdr:colOff>
      <xdr:row>3</xdr:row>
      <xdr:rowOff>102346</xdr:rowOff>
    </xdr:to>
    <xdr:sp macro="[0]!goto_instructions" textlink="">
      <xdr:nvSpPr>
        <xdr:cNvPr id="69" name="instrbutton2"/>
        <xdr:cNvSpPr/>
      </xdr:nvSpPr>
      <xdr:spPr>
        <a:xfrm>
          <a:off x="1461408" y="973208"/>
          <a:ext cx="653142" cy="4626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Arial" panose="020B0604020202020204" pitchFamily="34" charset="0"/>
              <a:ea typeface="Source Code Pro Medium" panose="020B0509030403020204" pitchFamily="49" charset="0"/>
              <a:cs typeface="Arial" panose="020B0604020202020204" pitchFamily="34" charset="0"/>
            </a:rPr>
            <a:t>?</a:t>
          </a:r>
          <a:r>
            <a:rPr lang="en-US" sz="3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6</xdr:col>
      <xdr:colOff>304801</xdr:colOff>
      <xdr:row>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12</xdr:col>
      <xdr:colOff>304801</xdr:colOff>
      <xdr:row>19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310242</xdr:colOff>
      <xdr:row>1</xdr:row>
      <xdr:rowOff>114300</xdr:rowOff>
    </xdr:to>
    <xdr:sp macro="[0]!goto_stats" textlink="">
      <xdr:nvSpPr>
        <xdr:cNvPr id="5" name="settingbutton"/>
        <xdr:cNvSpPr/>
      </xdr:nvSpPr>
      <xdr:spPr>
        <a:xfrm>
          <a:off x="0" y="0"/>
          <a:ext cx="653142" cy="647700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ingdings 2" panose="05020102010507070707" pitchFamily="18" charset="2"/>
            </a:rPr>
            <a:t>V</a:t>
          </a:r>
          <a:r>
            <a:rPr lang="en-US" sz="40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 </a:t>
          </a:r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469900</xdr:colOff>
      <xdr:row>19</xdr:row>
      <xdr:rowOff>103227</xdr:rowOff>
    </xdr:to>
    <xdr:pic>
      <xdr:nvPicPr>
        <xdr:cNvPr id="6" name="Picture 5" descr="Excel Rain Man - Crunchbase Company Profile &amp;amp; Fundi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8058150" y="4371975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276225</xdr:rowOff>
    </xdr:from>
    <xdr:to>
      <xdr:col>7</xdr:col>
      <xdr:colOff>161925</xdr:colOff>
      <xdr:row>2</xdr:row>
      <xdr:rowOff>0</xdr:rowOff>
    </xdr:to>
    <xdr:sp macro="[0]!reset_stats" textlink="">
      <xdr:nvSpPr>
        <xdr:cNvPr id="7" name="randomwordle"/>
        <xdr:cNvSpPr/>
      </xdr:nvSpPr>
      <xdr:spPr>
        <a:xfrm>
          <a:off x="3895725" y="276225"/>
          <a:ext cx="771525" cy="447675"/>
        </a:xfrm>
        <a:prstGeom prst="roundRect">
          <a:avLst/>
        </a:prstGeom>
        <a:solidFill>
          <a:srgbClr val="A6A6A6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Reset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Stats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6</xdr:col>
      <xdr:colOff>304801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12</xdr:col>
      <xdr:colOff>304801</xdr:colOff>
      <xdr:row>19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310242</xdr:colOff>
      <xdr:row>1</xdr:row>
      <xdr:rowOff>114300</xdr:rowOff>
    </xdr:to>
    <xdr:sp macro="[0]!goto_stats" textlink="">
      <xdr:nvSpPr>
        <xdr:cNvPr id="4" name="settingbutton"/>
        <xdr:cNvSpPr/>
      </xdr:nvSpPr>
      <xdr:spPr>
        <a:xfrm>
          <a:off x="0" y="0"/>
          <a:ext cx="653142" cy="6477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  <a:latin typeface="Wingdings 2" panose="05020102010507070707" pitchFamily="18" charset="2"/>
            </a:rPr>
            <a:t>V</a:t>
          </a:r>
          <a:r>
            <a:rPr lang="en-US" sz="4000">
              <a:solidFill>
                <a:sysClr val="windowText" lastClr="000000"/>
              </a:solidFill>
              <a:latin typeface="Webdings" panose="05030102010509060703" pitchFamily="18" charset="2"/>
            </a:rPr>
            <a:t> </a:t>
          </a:r>
        </a:p>
      </xdr:txBody>
    </xdr:sp>
    <xdr:clientData/>
  </xdr:twoCellAnchor>
  <xdr:twoCellAnchor editAs="oneCell">
    <xdr:from>
      <xdr:col>12</xdr:col>
      <xdr:colOff>0</xdr:colOff>
      <xdr:row>18</xdr:row>
      <xdr:rowOff>0</xdr:rowOff>
    </xdr:from>
    <xdr:to>
      <xdr:col>12</xdr:col>
      <xdr:colOff>469900</xdr:colOff>
      <xdr:row>19</xdr:row>
      <xdr:rowOff>103227</xdr:rowOff>
    </xdr:to>
    <xdr:pic>
      <xdr:nvPicPr>
        <xdr:cNvPr id="5" name="Picture 4" descr="Excel Rain Man - Crunchbase Company Profile &amp;amp; Fundi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8058150" y="4371975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276225</xdr:rowOff>
    </xdr:from>
    <xdr:to>
      <xdr:col>7</xdr:col>
      <xdr:colOff>161925</xdr:colOff>
      <xdr:row>2</xdr:row>
      <xdr:rowOff>0</xdr:rowOff>
    </xdr:to>
    <xdr:sp macro="[0]!reset_stats" textlink="">
      <xdr:nvSpPr>
        <xdr:cNvPr id="6" name="randomwordle"/>
        <xdr:cNvSpPr/>
      </xdr:nvSpPr>
      <xdr:spPr>
        <a:xfrm>
          <a:off x="3895725" y="276225"/>
          <a:ext cx="771525" cy="447675"/>
        </a:xfrm>
        <a:prstGeom prst="roundRect">
          <a:avLst/>
        </a:prstGeom>
        <a:solidFill>
          <a:srgbClr val="A6A6A6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Reset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Stats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29</xdr:row>
      <xdr:rowOff>66675</xdr:rowOff>
    </xdr:from>
    <xdr:to>
      <xdr:col>5</xdr:col>
      <xdr:colOff>0</xdr:colOff>
      <xdr:row>33</xdr:row>
      <xdr:rowOff>0</xdr:rowOff>
    </xdr:to>
    <xdr:sp macro="[0]!goto_administrator" textlink="">
      <xdr:nvSpPr>
        <xdr:cNvPr id="2" name="admininstr"/>
        <xdr:cNvSpPr/>
      </xdr:nvSpPr>
      <xdr:spPr>
        <a:xfrm>
          <a:off x="457200" y="5867400"/>
          <a:ext cx="1095375" cy="657225"/>
        </a:xfrm>
        <a:prstGeom prst="roundRect">
          <a:avLst/>
        </a:prstGeom>
        <a:solidFill>
          <a:srgbClr val="A6A6A6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View</a:t>
          </a:r>
          <a:r>
            <a:rPr lang="en-US" sz="11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Administrator Instructions</a:t>
          </a:r>
          <a:endParaRPr lang="en-US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114300</xdr:colOff>
      <xdr:row>1</xdr:row>
      <xdr:rowOff>285750</xdr:rowOff>
    </xdr:to>
    <xdr:sp macro="[0]!goto_instructions" textlink="">
      <xdr:nvSpPr>
        <xdr:cNvPr id="3" name="instrexitbutton"/>
        <xdr:cNvSpPr/>
      </xdr:nvSpPr>
      <xdr:spPr>
        <a:xfrm>
          <a:off x="0" y="0"/>
          <a:ext cx="542925" cy="523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ingdings 2" panose="05020102010507070707" pitchFamily="18" charset="2"/>
            </a:rPr>
            <a:t>V</a:t>
          </a:r>
          <a:r>
            <a:rPr lang="en-US" sz="36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atin typeface="Webdings" panose="05030102010509060703" pitchFamily="18" charset="2"/>
            </a:rPr>
            <a:t> </a:t>
          </a:r>
        </a:p>
      </xdr:txBody>
    </xdr:sp>
    <xdr:clientData/>
  </xdr:twoCellAnchor>
  <xdr:twoCellAnchor editAs="oneCell">
    <xdr:from>
      <xdr:col>13</xdr:col>
      <xdr:colOff>57150</xdr:colOff>
      <xdr:row>31</xdr:row>
      <xdr:rowOff>152400</xdr:rowOff>
    </xdr:from>
    <xdr:to>
      <xdr:col>13</xdr:col>
      <xdr:colOff>527050</xdr:colOff>
      <xdr:row>33</xdr:row>
      <xdr:rowOff>84177</xdr:rowOff>
    </xdr:to>
    <xdr:pic>
      <xdr:nvPicPr>
        <xdr:cNvPr id="4" name="Picture 3" descr="Excel Rain Man - Crunchbase Company Profile &amp;amp; Fundi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5029200" y="6315075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654051</xdr:colOff>
      <xdr:row>1</xdr:row>
      <xdr:rowOff>59691</xdr:rowOff>
    </xdr:from>
    <xdr:to>
      <xdr:col>8</xdr:col>
      <xdr:colOff>1123951</xdr:colOff>
      <xdr:row>1</xdr:row>
      <xdr:rowOff>353418</xdr:rowOff>
    </xdr:to>
    <xdr:pic>
      <xdr:nvPicPr>
        <xdr:cNvPr id="2" name="Picture 1" descr="Excel Rain Man - Crunchbase Company Profile &amp;amp; Fundi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9969501" y="173991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34074</xdr:colOff>
      <xdr:row>27</xdr:row>
      <xdr:rowOff>88900</xdr:rowOff>
    </xdr:from>
    <xdr:to>
      <xdr:col>7</xdr:col>
      <xdr:colOff>344970</xdr:colOff>
      <xdr:row>29</xdr:row>
      <xdr:rowOff>75946</xdr:rowOff>
    </xdr:to>
    <xdr:pic>
      <xdr:nvPicPr>
        <xdr:cNvPr id="3" name="Pictur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AFBD5D-28A5-442B-A013-C85A2C61C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1724" y="6213475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6</xdr:col>
      <xdr:colOff>148005</xdr:colOff>
      <xdr:row>27</xdr:row>
      <xdr:rowOff>89494</xdr:rowOff>
    </xdr:from>
    <xdr:to>
      <xdr:col>6</xdr:col>
      <xdr:colOff>458901</xdr:colOff>
      <xdr:row>29</xdr:row>
      <xdr:rowOff>76540</xdr:rowOff>
    </xdr:to>
    <xdr:pic>
      <xdr:nvPicPr>
        <xdr:cNvPr id="4" name="Pictur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8E14E15-34C5-4699-904B-100969115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3105" y="6214069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5</xdr:col>
      <xdr:colOff>700271</xdr:colOff>
      <xdr:row>27</xdr:row>
      <xdr:rowOff>89493</xdr:rowOff>
    </xdr:from>
    <xdr:to>
      <xdr:col>5</xdr:col>
      <xdr:colOff>1011167</xdr:colOff>
      <xdr:row>29</xdr:row>
      <xdr:rowOff>76539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AAF8B55-848A-4B6B-9FE5-33B7F8E8F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3796" y="6214068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6</xdr:col>
      <xdr:colOff>767314</xdr:colOff>
      <xdr:row>27</xdr:row>
      <xdr:rowOff>89493</xdr:rowOff>
    </xdr:from>
    <xdr:to>
      <xdr:col>6</xdr:col>
      <xdr:colOff>1078210</xdr:colOff>
      <xdr:row>29</xdr:row>
      <xdr:rowOff>76539</xdr:rowOff>
    </xdr:to>
    <xdr:pic>
      <xdr:nvPicPr>
        <xdr:cNvPr id="6" name="Picture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B173B39-17FC-4DA6-BB87-B84925BE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2414" y="6214068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5</xdr:col>
      <xdr:colOff>80962</xdr:colOff>
      <xdr:row>27</xdr:row>
      <xdr:rowOff>89494</xdr:rowOff>
    </xdr:from>
    <xdr:to>
      <xdr:col>5</xdr:col>
      <xdr:colOff>391858</xdr:colOff>
      <xdr:row>29</xdr:row>
      <xdr:rowOff>76540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3F8E85-9517-4BBF-ADDA-3A4B022F1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4487" y="6214069"/>
          <a:ext cx="310896" cy="310896"/>
        </a:xfrm>
        <a:prstGeom prst="rect">
          <a:avLst/>
        </a:prstGeom>
      </xdr:spPr>
    </xdr:pic>
    <xdr:clientData/>
  </xdr:twoCellAnchor>
  <xdr:twoCellAnchor>
    <xdr:from>
      <xdr:col>4</xdr:col>
      <xdr:colOff>819150</xdr:colOff>
      <xdr:row>21</xdr:row>
      <xdr:rowOff>233362</xdr:rowOff>
    </xdr:from>
    <xdr:to>
      <xdr:col>4</xdr:col>
      <xdr:colOff>2007870</xdr:colOff>
      <xdr:row>24</xdr:row>
      <xdr:rowOff>20002</xdr:rowOff>
    </xdr:to>
    <xdr:sp macro="[0]!set_word_order" textlink="">
      <xdr:nvSpPr>
        <xdr:cNvPr id="11" name="Rounded Rectangle 10"/>
        <xdr:cNvSpPr/>
      </xdr:nvSpPr>
      <xdr:spPr>
        <a:xfrm>
          <a:off x="3219450" y="4900612"/>
          <a:ext cx="1188720" cy="548640"/>
        </a:xfrm>
        <a:prstGeom prst="roundRect">
          <a:avLst/>
        </a:prstGeom>
        <a:solidFill>
          <a:srgbClr val="FFAE4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A2538"/>
              </a:solidFill>
            </a:rPr>
            <a:t>Randomize Word List</a:t>
          </a:r>
        </a:p>
      </xdr:txBody>
    </xdr:sp>
    <xdr:clientData/>
  </xdr:twoCellAnchor>
  <xdr:twoCellAnchor>
    <xdr:from>
      <xdr:col>4</xdr:col>
      <xdr:colOff>2571750</xdr:colOff>
      <xdr:row>21</xdr:row>
      <xdr:rowOff>233362</xdr:rowOff>
    </xdr:from>
    <xdr:to>
      <xdr:col>5</xdr:col>
      <xdr:colOff>969645</xdr:colOff>
      <xdr:row>24</xdr:row>
      <xdr:rowOff>20002</xdr:rowOff>
    </xdr:to>
    <xdr:sp macro="[0]!score_sheets" textlink="">
      <xdr:nvSpPr>
        <xdr:cNvPr id="9" name="Rounded Rectangle 8"/>
        <xdr:cNvSpPr/>
      </xdr:nvSpPr>
      <xdr:spPr>
        <a:xfrm>
          <a:off x="4972050" y="4900612"/>
          <a:ext cx="1188720" cy="548640"/>
        </a:xfrm>
        <a:prstGeom prst="roundRect">
          <a:avLst/>
        </a:prstGeom>
        <a:solidFill>
          <a:srgbClr val="FFAE4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A2538"/>
              </a:solidFill>
            </a:rPr>
            <a:t>Score</a:t>
          </a:r>
          <a:r>
            <a:rPr lang="en-US" sz="1100" b="1" baseline="0">
              <a:solidFill>
                <a:srgbClr val="0A2538"/>
              </a:solidFill>
            </a:rPr>
            <a:t> Results</a:t>
          </a:r>
          <a:endParaRPr lang="en-US" sz="1100" b="1">
            <a:solidFill>
              <a:srgbClr val="0A2538"/>
            </a:solidFill>
          </a:endParaRPr>
        </a:p>
      </xdr:txBody>
    </xdr:sp>
    <xdr:clientData/>
  </xdr:twoCellAnchor>
  <xdr:twoCellAnchor>
    <xdr:from>
      <xdr:col>6</xdr:col>
      <xdr:colOff>361950</xdr:colOff>
      <xdr:row>21</xdr:row>
      <xdr:rowOff>233362</xdr:rowOff>
    </xdr:from>
    <xdr:to>
      <xdr:col>7</xdr:col>
      <xdr:colOff>198120</xdr:colOff>
      <xdr:row>24</xdr:row>
      <xdr:rowOff>20002</xdr:rowOff>
    </xdr:to>
    <xdr:sp macro="[0]!hide_administrator" textlink="">
      <xdr:nvSpPr>
        <xdr:cNvPr id="10" name="Rounded Rectangle 9"/>
        <xdr:cNvSpPr/>
      </xdr:nvSpPr>
      <xdr:spPr>
        <a:xfrm>
          <a:off x="6724650" y="4900612"/>
          <a:ext cx="1188720" cy="548640"/>
        </a:xfrm>
        <a:prstGeom prst="roundRect">
          <a:avLst/>
        </a:prstGeom>
        <a:solidFill>
          <a:srgbClr val="FFAE4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A2538"/>
              </a:solidFill>
            </a:rPr>
            <a:t>Hide Admin.</a:t>
          </a:r>
          <a:r>
            <a:rPr lang="en-US" sz="1100" b="1" baseline="0">
              <a:solidFill>
                <a:srgbClr val="0A2538"/>
              </a:solidFill>
            </a:rPr>
            <a:t> Sheet</a:t>
          </a:r>
          <a:endParaRPr lang="en-US" sz="1100" b="1">
            <a:solidFill>
              <a:srgbClr val="0A2538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59691</xdr:rowOff>
    </xdr:from>
    <xdr:to>
      <xdr:col>11</xdr:col>
      <xdr:colOff>0</xdr:colOff>
      <xdr:row>3</xdr:row>
      <xdr:rowOff>993</xdr:rowOff>
    </xdr:to>
    <xdr:pic>
      <xdr:nvPicPr>
        <xdr:cNvPr id="2" name="Picture 1" descr="Excel Rain Man - Crunchbase Company Profile &amp;amp; Funding"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9817101" y="173991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26</xdr:row>
      <xdr:rowOff>88900</xdr:rowOff>
    </xdr:from>
    <xdr:to>
      <xdr:col>11</xdr:col>
      <xdr:colOff>0</xdr:colOff>
      <xdr:row>28</xdr:row>
      <xdr:rowOff>18796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AFBD5D-28A5-442B-A013-C85A2C61C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9324" y="6261100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26</xdr:row>
      <xdr:rowOff>89494</xdr:rowOff>
    </xdr:from>
    <xdr:to>
      <xdr:col>11</xdr:col>
      <xdr:colOff>0</xdr:colOff>
      <xdr:row>28</xdr:row>
      <xdr:rowOff>19390</xdr:rowOff>
    </xdr:to>
    <xdr:pic>
      <xdr:nvPicPr>
        <xdr:cNvPr id="4" name="Pictur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E14E15-34C5-4699-904B-100969115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0705" y="6261694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10</xdr:col>
      <xdr:colOff>700271</xdr:colOff>
      <xdr:row>26</xdr:row>
      <xdr:rowOff>89493</xdr:rowOff>
    </xdr:from>
    <xdr:to>
      <xdr:col>10</xdr:col>
      <xdr:colOff>700271</xdr:colOff>
      <xdr:row>28</xdr:row>
      <xdr:rowOff>19389</xdr:rowOff>
    </xdr:to>
    <xdr:pic>
      <xdr:nvPicPr>
        <xdr:cNvPr id="5" name="Picture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AAF8B55-848A-4B6B-9FE5-33B7F8E8F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396" y="6261693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26</xdr:row>
      <xdr:rowOff>89493</xdr:rowOff>
    </xdr:from>
    <xdr:to>
      <xdr:col>11</xdr:col>
      <xdr:colOff>0</xdr:colOff>
      <xdr:row>28</xdr:row>
      <xdr:rowOff>19389</xdr:rowOff>
    </xdr:to>
    <xdr:pic>
      <xdr:nvPicPr>
        <xdr:cNvPr id="6" name="Picture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B173B39-17FC-4DA6-BB87-B84925BE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0014" y="6261693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10</xdr:col>
      <xdr:colOff>80962</xdr:colOff>
      <xdr:row>26</xdr:row>
      <xdr:rowOff>89494</xdr:rowOff>
    </xdr:from>
    <xdr:to>
      <xdr:col>10</xdr:col>
      <xdr:colOff>80962</xdr:colOff>
      <xdr:row>28</xdr:row>
      <xdr:rowOff>19390</xdr:rowOff>
    </xdr:to>
    <xdr:pic>
      <xdr:nvPicPr>
        <xdr:cNvPr id="7" name="Picture 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73F8E85-9517-4BBF-ADDA-3A4B022F1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2087" y="6261694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10</xdr:col>
      <xdr:colOff>286487</xdr:colOff>
      <xdr:row>26</xdr:row>
      <xdr:rowOff>76200</xdr:rowOff>
    </xdr:from>
    <xdr:to>
      <xdr:col>10</xdr:col>
      <xdr:colOff>597383</xdr:colOff>
      <xdr:row>28</xdr:row>
      <xdr:rowOff>63246</xdr:rowOff>
    </xdr:to>
    <xdr:pic>
      <xdr:nvPicPr>
        <xdr:cNvPr id="11" name="Pictur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AFBD5D-28A5-442B-A013-C85A2C61C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937" y="6467475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9</xdr:col>
      <xdr:colOff>57518</xdr:colOff>
      <xdr:row>26</xdr:row>
      <xdr:rowOff>76794</xdr:rowOff>
    </xdr:from>
    <xdr:to>
      <xdr:col>9</xdr:col>
      <xdr:colOff>368414</xdr:colOff>
      <xdr:row>28</xdr:row>
      <xdr:rowOff>63840</xdr:rowOff>
    </xdr:to>
    <xdr:pic>
      <xdr:nvPicPr>
        <xdr:cNvPr id="12" name="Picture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E14E15-34C5-4699-904B-100969115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8318" y="6468069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8</xdr:col>
      <xdr:colOff>152584</xdr:colOff>
      <xdr:row>26</xdr:row>
      <xdr:rowOff>76793</xdr:rowOff>
    </xdr:from>
    <xdr:to>
      <xdr:col>8</xdr:col>
      <xdr:colOff>463480</xdr:colOff>
      <xdr:row>28</xdr:row>
      <xdr:rowOff>63839</xdr:rowOff>
    </xdr:to>
    <xdr:pic>
      <xdr:nvPicPr>
        <xdr:cNvPr id="13" name="Pictur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AAF8B55-848A-4B6B-9FE5-33B7F8E8F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9009" y="6468068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9</xdr:col>
      <xdr:colOff>676827</xdr:colOff>
      <xdr:row>26</xdr:row>
      <xdr:rowOff>76793</xdr:rowOff>
    </xdr:from>
    <xdr:to>
      <xdr:col>9</xdr:col>
      <xdr:colOff>987723</xdr:colOff>
      <xdr:row>28</xdr:row>
      <xdr:rowOff>63839</xdr:rowOff>
    </xdr:to>
    <xdr:pic>
      <xdr:nvPicPr>
        <xdr:cNvPr id="14" name="Pictur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B173B39-17FC-4DA6-BB87-B84925BE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627" y="6468068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26</xdr:row>
      <xdr:rowOff>76794</xdr:rowOff>
    </xdr:from>
    <xdr:to>
      <xdr:col>7</xdr:col>
      <xdr:colOff>558546</xdr:colOff>
      <xdr:row>28</xdr:row>
      <xdr:rowOff>63840</xdr:rowOff>
    </xdr:to>
    <xdr:pic>
      <xdr:nvPicPr>
        <xdr:cNvPr id="15" name="Pictur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73F8E85-9517-4BBF-ADDA-3A4B022F1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6468069"/>
          <a:ext cx="310896" cy="310896"/>
        </a:xfrm>
        <a:prstGeom prst="rect">
          <a:avLst/>
        </a:prstGeom>
      </xdr:spPr>
    </xdr:pic>
    <xdr:clientData/>
  </xdr:twoCellAnchor>
  <xdr:twoCellAnchor editAs="oneCell">
    <xdr:from>
      <xdr:col>10</xdr:col>
      <xdr:colOff>590550</xdr:colOff>
      <xdr:row>1</xdr:row>
      <xdr:rowOff>57150</xdr:rowOff>
    </xdr:from>
    <xdr:to>
      <xdr:col>10</xdr:col>
      <xdr:colOff>1060450</xdr:colOff>
      <xdr:row>1</xdr:row>
      <xdr:rowOff>350877</xdr:rowOff>
    </xdr:to>
    <xdr:pic>
      <xdr:nvPicPr>
        <xdr:cNvPr id="16" name="Picture 15" descr="Excel Rain Man - Crunchbase Company Profile &amp;amp; Funding">
          <a:extLst>
            <a:ext uri="{FF2B5EF4-FFF2-40B4-BE49-F238E27FC236}">
              <a16:creationId xmlns:a16="http://schemas.microsoft.com/office/drawing/2014/main" id="{BFF072B3-197A-41CC-A1D6-6C75B1CBD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101" b="21101"/>
        <a:stretch/>
      </xdr:blipFill>
      <xdr:spPr bwMode="auto">
        <a:xfrm>
          <a:off x="8001000" y="171450"/>
          <a:ext cx="469900" cy="293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447675</xdr:colOff>
      <xdr:row>4</xdr:row>
      <xdr:rowOff>57150</xdr:rowOff>
    </xdr:from>
    <xdr:to>
      <xdr:col>6</xdr:col>
      <xdr:colOff>207645</xdr:colOff>
      <xdr:row>6</xdr:row>
      <xdr:rowOff>129540</xdr:rowOff>
    </xdr:to>
    <xdr:sp macro="[0]!goto_administrator" textlink="">
      <xdr:nvSpPr>
        <xdr:cNvPr id="17" name="Rounded Rectangle 16"/>
        <xdr:cNvSpPr/>
      </xdr:nvSpPr>
      <xdr:spPr>
        <a:xfrm>
          <a:off x="3276600" y="914400"/>
          <a:ext cx="1188720" cy="548640"/>
        </a:xfrm>
        <a:prstGeom prst="roundRect">
          <a:avLst/>
        </a:prstGeom>
        <a:solidFill>
          <a:srgbClr val="FFAE4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A2538"/>
              </a:solidFill>
            </a:rPr>
            <a:t>Return to Admin.</a:t>
          </a:r>
          <a:r>
            <a:rPr lang="en-US" sz="1100" b="1" baseline="0">
              <a:solidFill>
                <a:srgbClr val="0A2538"/>
              </a:solidFill>
            </a:rPr>
            <a:t> Sheet</a:t>
          </a:r>
          <a:endParaRPr lang="en-US" sz="1100" b="1">
            <a:solidFill>
              <a:srgbClr val="0A2538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256443</xdr:colOff>
      <xdr:row>4</xdr:row>
      <xdr:rowOff>87923</xdr:rowOff>
    </xdr:from>
    <xdr:to>
      <xdr:col>5</xdr:col>
      <xdr:colOff>168520</xdr:colOff>
      <xdr:row>6</xdr:row>
      <xdr:rowOff>0</xdr:rowOff>
    </xdr:to>
    <xdr:sp macro="" textlink="">
      <xdr:nvSpPr>
        <xdr:cNvPr id="3" name="Rounded Rectangle 2"/>
        <xdr:cNvSpPr/>
      </xdr:nvSpPr>
      <xdr:spPr>
        <a:xfrm>
          <a:off x="2080847" y="1480038"/>
          <a:ext cx="432288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 editAs="absolute">
    <xdr:from>
      <xdr:col>5</xdr:col>
      <xdr:colOff>256443</xdr:colOff>
      <xdr:row>4</xdr:row>
      <xdr:rowOff>87923</xdr:rowOff>
    </xdr:from>
    <xdr:to>
      <xdr:col>7</xdr:col>
      <xdr:colOff>168520</xdr:colOff>
      <xdr:row>6</xdr:row>
      <xdr:rowOff>0</xdr:rowOff>
    </xdr:to>
    <xdr:sp macro="" textlink="">
      <xdr:nvSpPr>
        <xdr:cNvPr id="6" name="Rounded Rectangle 5"/>
        <xdr:cNvSpPr/>
      </xdr:nvSpPr>
      <xdr:spPr>
        <a:xfrm>
          <a:off x="2601058" y="1480038"/>
          <a:ext cx="432289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 editAs="absolute">
    <xdr:from>
      <xdr:col>7</xdr:col>
      <xdr:colOff>256443</xdr:colOff>
      <xdr:row>4</xdr:row>
      <xdr:rowOff>87923</xdr:rowOff>
    </xdr:from>
    <xdr:to>
      <xdr:col>9</xdr:col>
      <xdr:colOff>168520</xdr:colOff>
      <xdr:row>6</xdr:row>
      <xdr:rowOff>0</xdr:rowOff>
    </xdr:to>
    <xdr:sp macro="" textlink="">
      <xdr:nvSpPr>
        <xdr:cNvPr id="7" name="Rounded Rectangle 6"/>
        <xdr:cNvSpPr/>
      </xdr:nvSpPr>
      <xdr:spPr>
        <a:xfrm>
          <a:off x="3121270" y="1480038"/>
          <a:ext cx="432288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D</a:t>
          </a:r>
        </a:p>
      </xdr:txBody>
    </xdr:sp>
    <xdr:clientData/>
  </xdr:twoCellAnchor>
  <xdr:twoCellAnchor editAs="absolute">
    <xdr:from>
      <xdr:col>9</xdr:col>
      <xdr:colOff>256443</xdr:colOff>
      <xdr:row>4</xdr:row>
      <xdr:rowOff>87923</xdr:rowOff>
    </xdr:from>
    <xdr:to>
      <xdr:col>11</xdr:col>
      <xdr:colOff>168520</xdr:colOff>
      <xdr:row>6</xdr:row>
      <xdr:rowOff>0</xdr:rowOff>
    </xdr:to>
    <xdr:sp macro="" textlink="">
      <xdr:nvSpPr>
        <xdr:cNvPr id="8" name="Rounded Rectangle 7"/>
        <xdr:cNvSpPr/>
      </xdr:nvSpPr>
      <xdr:spPr>
        <a:xfrm>
          <a:off x="3641481" y="1480038"/>
          <a:ext cx="432289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F</a:t>
          </a:r>
        </a:p>
      </xdr:txBody>
    </xdr:sp>
    <xdr:clientData/>
  </xdr:twoCellAnchor>
  <xdr:twoCellAnchor editAs="absolute">
    <xdr:from>
      <xdr:col>11</xdr:col>
      <xdr:colOff>256443</xdr:colOff>
      <xdr:row>4</xdr:row>
      <xdr:rowOff>87923</xdr:rowOff>
    </xdr:from>
    <xdr:to>
      <xdr:col>13</xdr:col>
      <xdr:colOff>168519</xdr:colOff>
      <xdr:row>6</xdr:row>
      <xdr:rowOff>0</xdr:rowOff>
    </xdr:to>
    <xdr:sp macro="" textlink="">
      <xdr:nvSpPr>
        <xdr:cNvPr id="9" name="Rounded Rectangle 8"/>
        <xdr:cNvSpPr/>
      </xdr:nvSpPr>
      <xdr:spPr>
        <a:xfrm>
          <a:off x="4161693" y="1480038"/>
          <a:ext cx="432288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G</a:t>
          </a:r>
        </a:p>
      </xdr:txBody>
    </xdr:sp>
    <xdr:clientData/>
  </xdr:twoCellAnchor>
  <xdr:twoCellAnchor editAs="absolute">
    <xdr:from>
      <xdr:col>13</xdr:col>
      <xdr:colOff>256443</xdr:colOff>
      <xdr:row>4</xdr:row>
      <xdr:rowOff>87923</xdr:rowOff>
    </xdr:from>
    <xdr:to>
      <xdr:col>15</xdr:col>
      <xdr:colOff>168520</xdr:colOff>
      <xdr:row>6</xdr:row>
      <xdr:rowOff>0</xdr:rowOff>
    </xdr:to>
    <xdr:sp macro="" textlink="">
      <xdr:nvSpPr>
        <xdr:cNvPr id="10" name="Rounded Rectangle 9"/>
        <xdr:cNvSpPr/>
      </xdr:nvSpPr>
      <xdr:spPr>
        <a:xfrm>
          <a:off x="4681905" y="1480038"/>
          <a:ext cx="432288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H</a:t>
          </a:r>
        </a:p>
      </xdr:txBody>
    </xdr:sp>
    <xdr:clientData/>
  </xdr:twoCellAnchor>
  <xdr:twoCellAnchor editAs="absolute">
    <xdr:from>
      <xdr:col>15</xdr:col>
      <xdr:colOff>256444</xdr:colOff>
      <xdr:row>4</xdr:row>
      <xdr:rowOff>87923</xdr:rowOff>
    </xdr:from>
    <xdr:to>
      <xdr:col>17</xdr:col>
      <xdr:colOff>168521</xdr:colOff>
      <xdr:row>6</xdr:row>
      <xdr:rowOff>0</xdr:rowOff>
    </xdr:to>
    <xdr:sp macro="" textlink="">
      <xdr:nvSpPr>
        <xdr:cNvPr id="11" name="Rounded Rectangle 10"/>
        <xdr:cNvSpPr/>
      </xdr:nvSpPr>
      <xdr:spPr>
        <a:xfrm>
          <a:off x="5202117" y="1480038"/>
          <a:ext cx="432289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J</a:t>
          </a:r>
        </a:p>
      </xdr:txBody>
    </xdr:sp>
    <xdr:clientData/>
  </xdr:twoCellAnchor>
  <xdr:twoCellAnchor editAs="absolute">
    <xdr:from>
      <xdr:col>17</xdr:col>
      <xdr:colOff>256443</xdr:colOff>
      <xdr:row>4</xdr:row>
      <xdr:rowOff>87923</xdr:rowOff>
    </xdr:from>
    <xdr:to>
      <xdr:col>19</xdr:col>
      <xdr:colOff>168520</xdr:colOff>
      <xdr:row>6</xdr:row>
      <xdr:rowOff>0</xdr:rowOff>
    </xdr:to>
    <xdr:sp macro="" textlink="">
      <xdr:nvSpPr>
        <xdr:cNvPr id="12" name="Rounded Rectangle 11"/>
        <xdr:cNvSpPr/>
      </xdr:nvSpPr>
      <xdr:spPr>
        <a:xfrm>
          <a:off x="5722328" y="1480038"/>
          <a:ext cx="432288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K</a:t>
          </a:r>
        </a:p>
      </xdr:txBody>
    </xdr:sp>
    <xdr:clientData/>
  </xdr:twoCellAnchor>
  <xdr:twoCellAnchor editAs="absolute">
    <xdr:from>
      <xdr:col>19</xdr:col>
      <xdr:colOff>256443</xdr:colOff>
      <xdr:row>4</xdr:row>
      <xdr:rowOff>87923</xdr:rowOff>
    </xdr:from>
    <xdr:to>
      <xdr:col>21</xdr:col>
      <xdr:colOff>168520</xdr:colOff>
      <xdr:row>6</xdr:row>
      <xdr:rowOff>0</xdr:rowOff>
    </xdr:to>
    <xdr:sp macro="" textlink="">
      <xdr:nvSpPr>
        <xdr:cNvPr id="13" name="Rounded Rectangle 12"/>
        <xdr:cNvSpPr/>
      </xdr:nvSpPr>
      <xdr:spPr>
        <a:xfrm>
          <a:off x="6242539" y="1480038"/>
          <a:ext cx="432289" cy="893885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L</a:t>
          </a:r>
        </a:p>
      </xdr:txBody>
    </xdr:sp>
    <xdr:clientData/>
  </xdr:twoCellAnchor>
  <xdr:twoCellAnchor editAs="absolute">
    <xdr:from>
      <xdr:col>3</xdr:col>
      <xdr:colOff>0</xdr:colOff>
      <xdr:row>7</xdr:row>
      <xdr:rowOff>0</xdr:rowOff>
    </xdr:from>
    <xdr:to>
      <xdr:col>5</xdr:col>
      <xdr:colOff>168520</xdr:colOff>
      <xdr:row>11</xdr:row>
      <xdr:rowOff>130969</xdr:rowOff>
    </xdr:to>
    <xdr:sp macro="" textlink="">
      <xdr:nvSpPr>
        <xdr:cNvPr id="15" name="Rounded Rectangle 14"/>
        <xdr:cNvSpPr/>
      </xdr:nvSpPr>
      <xdr:spPr>
        <a:xfrm>
          <a:off x="1824404" y="2461846"/>
          <a:ext cx="688731" cy="892969"/>
        </a:xfrm>
        <a:prstGeom prst="roundRect">
          <a:avLst>
            <a:gd name="adj" fmla="val 9299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ENTER</a:t>
          </a:r>
        </a:p>
      </xdr:txBody>
    </xdr:sp>
    <xdr:clientData/>
  </xdr:twoCellAnchor>
  <xdr:twoCellAnchor editAs="absolute">
    <xdr:from>
      <xdr:col>5</xdr:col>
      <xdr:colOff>256443</xdr:colOff>
      <xdr:row>7</xdr:row>
      <xdr:rowOff>0</xdr:rowOff>
    </xdr:from>
    <xdr:to>
      <xdr:col>7</xdr:col>
      <xdr:colOff>168520</xdr:colOff>
      <xdr:row>11</xdr:row>
      <xdr:rowOff>130969</xdr:rowOff>
    </xdr:to>
    <xdr:sp macro="" textlink="">
      <xdr:nvSpPr>
        <xdr:cNvPr id="16" name="Rounded Rectangle 15"/>
        <xdr:cNvSpPr/>
      </xdr:nvSpPr>
      <xdr:spPr>
        <a:xfrm>
          <a:off x="2601058" y="2461846"/>
          <a:ext cx="432289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Z</a:t>
          </a:r>
        </a:p>
      </xdr:txBody>
    </xdr:sp>
    <xdr:clientData/>
  </xdr:twoCellAnchor>
  <xdr:twoCellAnchor editAs="absolute">
    <xdr:from>
      <xdr:col>7</xdr:col>
      <xdr:colOff>256443</xdr:colOff>
      <xdr:row>7</xdr:row>
      <xdr:rowOff>0</xdr:rowOff>
    </xdr:from>
    <xdr:to>
      <xdr:col>9</xdr:col>
      <xdr:colOff>168520</xdr:colOff>
      <xdr:row>11</xdr:row>
      <xdr:rowOff>130969</xdr:rowOff>
    </xdr:to>
    <xdr:sp macro="" textlink="">
      <xdr:nvSpPr>
        <xdr:cNvPr id="17" name="Rounded Rectangle 16"/>
        <xdr:cNvSpPr/>
      </xdr:nvSpPr>
      <xdr:spPr>
        <a:xfrm>
          <a:off x="3121270" y="2461846"/>
          <a:ext cx="432288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X</a:t>
          </a:r>
        </a:p>
      </xdr:txBody>
    </xdr:sp>
    <xdr:clientData/>
  </xdr:twoCellAnchor>
  <xdr:twoCellAnchor editAs="absolute">
    <xdr:from>
      <xdr:col>9</xdr:col>
      <xdr:colOff>256443</xdr:colOff>
      <xdr:row>7</xdr:row>
      <xdr:rowOff>0</xdr:rowOff>
    </xdr:from>
    <xdr:to>
      <xdr:col>11</xdr:col>
      <xdr:colOff>168520</xdr:colOff>
      <xdr:row>11</xdr:row>
      <xdr:rowOff>130969</xdr:rowOff>
    </xdr:to>
    <xdr:sp macro="" textlink="">
      <xdr:nvSpPr>
        <xdr:cNvPr id="18" name="Rounded Rectangle 17"/>
        <xdr:cNvSpPr/>
      </xdr:nvSpPr>
      <xdr:spPr>
        <a:xfrm>
          <a:off x="3641481" y="2461846"/>
          <a:ext cx="432289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</a:t>
          </a:r>
        </a:p>
      </xdr:txBody>
    </xdr:sp>
    <xdr:clientData/>
  </xdr:twoCellAnchor>
  <xdr:twoCellAnchor editAs="absolute">
    <xdr:from>
      <xdr:col>11</xdr:col>
      <xdr:colOff>256443</xdr:colOff>
      <xdr:row>7</xdr:row>
      <xdr:rowOff>0</xdr:rowOff>
    </xdr:from>
    <xdr:to>
      <xdr:col>13</xdr:col>
      <xdr:colOff>168519</xdr:colOff>
      <xdr:row>11</xdr:row>
      <xdr:rowOff>130969</xdr:rowOff>
    </xdr:to>
    <xdr:sp macro="" textlink="">
      <xdr:nvSpPr>
        <xdr:cNvPr id="19" name="Rounded Rectangle 18"/>
        <xdr:cNvSpPr/>
      </xdr:nvSpPr>
      <xdr:spPr>
        <a:xfrm>
          <a:off x="4161693" y="2461846"/>
          <a:ext cx="432288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V</a:t>
          </a:r>
        </a:p>
      </xdr:txBody>
    </xdr:sp>
    <xdr:clientData/>
  </xdr:twoCellAnchor>
  <xdr:twoCellAnchor editAs="absolute">
    <xdr:from>
      <xdr:col>13</xdr:col>
      <xdr:colOff>256443</xdr:colOff>
      <xdr:row>7</xdr:row>
      <xdr:rowOff>0</xdr:rowOff>
    </xdr:from>
    <xdr:to>
      <xdr:col>15</xdr:col>
      <xdr:colOff>168520</xdr:colOff>
      <xdr:row>11</xdr:row>
      <xdr:rowOff>130969</xdr:rowOff>
    </xdr:to>
    <xdr:sp macro="" textlink="">
      <xdr:nvSpPr>
        <xdr:cNvPr id="20" name="Rounded Rectangle 19"/>
        <xdr:cNvSpPr/>
      </xdr:nvSpPr>
      <xdr:spPr>
        <a:xfrm>
          <a:off x="4681905" y="2461846"/>
          <a:ext cx="432288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xdr:txBody>
    </xdr:sp>
    <xdr:clientData/>
  </xdr:twoCellAnchor>
  <xdr:twoCellAnchor editAs="absolute">
    <xdr:from>
      <xdr:col>15</xdr:col>
      <xdr:colOff>256444</xdr:colOff>
      <xdr:row>7</xdr:row>
      <xdr:rowOff>0</xdr:rowOff>
    </xdr:from>
    <xdr:to>
      <xdr:col>17</xdr:col>
      <xdr:colOff>168521</xdr:colOff>
      <xdr:row>11</xdr:row>
      <xdr:rowOff>130969</xdr:rowOff>
    </xdr:to>
    <xdr:sp macro="" textlink="">
      <xdr:nvSpPr>
        <xdr:cNvPr id="21" name="Rounded Rectangle 20"/>
        <xdr:cNvSpPr/>
      </xdr:nvSpPr>
      <xdr:spPr>
        <a:xfrm>
          <a:off x="5202117" y="2461846"/>
          <a:ext cx="432289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 editAs="absolute">
    <xdr:from>
      <xdr:col>17</xdr:col>
      <xdr:colOff>256443</xdr:colOff>
      <xdr:row>7</xdr:row>
      <xdr:rowOff>0</xdr:rowOff>
    </xdr:from>
    <xdr:to>
      <xdr:col>19</xdr:col>
      <xdr:colOff>168520</xdr:colOff>
      <xdr:row>11</xdr:row>
      <xdr:rowOff>130969</xdr:rowOff>
    </xdr:to>
    <xdr:sp macro="" textlink="">
      <xdr:nvSpPr>
        <xdr:cNvPr id="22" name="Rounded Rectangle 21"/>
        <xdr:cNvSpPr/>
      </xdr:nvSpPr>
      <xdr:spPr>
        <a:xfrm>
          <a:off x="5722328" y="2461846"/>
          <a:ext cx="432288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M</a:t>
          </a:r>
        </a:p>
      </xdr:txBody>
    </xdr:sp>
    <xdr:clientData/>
  </xdr:twoCellAnchor>
  <xdr:twoCellAnchor editAs="absolute">
    <xdr:from>
      <xdr:col>19</xdr:col>
      <xdr:colOff>256443</xdr:colOff>
      <xdr:row>7</xdr:row>
      <xdr:rowOff>0</xdr:rowOff>
    </xdr:from>
    <xdr:to>
      <xdr:col>22</xdr:col>
      <xdr:colOff>0</xdr:colOff>
      <xdr:row>11</xdr:row>
      <xdr:rowOff>130969</xdr:rowOff>
    </xdr:to>
    <xdr:sp macro="" textlink="">
      <xdr:nvSpPr>
        <xdr:cNvPr id="23" name="Rounded Rectangle 22"/>
        <xdr:cNvSpPr/>
      </xdr:nvSpPr>
      <xdr:spPr>
        <a:xfrm>
          <a:off x="6242539" y="2461846"/>
          <a:ext cx="696057" cy="892969"/>
        </a:xfrm>
        <a:prstGeom prst="roundRect">
          <a:avLst>
            <a:gd name="adj" fmla="val 9249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Wingdings" panose="05000000000000000000" pitchFamily="2" charset="2"/>
            </a:rPr>
            <a:t>Õ</a:t>
          </a:r>
        </a:p>
      </xdr:txBody>
    </xdr:sp>
    <xdr:clientData/>
  </xdr:twoCellAnchor>
  <xdr:twoCellAnchor editAs="absolute">
    <xdr:from>
      <xdr:col>3</xdr:col>
      <xdr:colOff>0</xdr:colOff>
      <xdr:row>2</xdr:row>
      <xdr:rowOff>119062</xdr:rowOff>
    </xdr:from>
    <xdr:to>
      <xdr:col>4</xdr:col>
      <xdr:colOff>0</xdr:colOff>
      <xdr:row>4</xdr:row>
      <xdr:rowOff>0</xdr:rowOff>
    </xdr:to>
    <xdr:sp macro="" textlink="">
      <xdr:nvSpPr>
        <xdr:cNvPr id="35" name="Rounded Rectangle 34"/>
        <xdr:cNvSpPr/>
      </xdr:nvSpPr>
      <xdr:spPr>
        <a:xfrm>
          <a:off x="1821656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Q</a:t>
          </a:r>
        </a:p>
      </xdr:txBody>
    </xdr:sp>
    <xdr:clientData/>
  </xdr:twoCellAnchor>
  <xdr:twoCellAnchor editAs="absolute">
    <xdr:from>
      <xdr:col>5</xdr:col>
      <xdr:colOff>0</xdr:colOff>
      <xdr:row>2</xdr:row>
      <xdr:rowOff>119062</xdr:rowOff>
    </xdr:from>
    <xdr:to>
      <xdr:col>6</xdr:col>
      <xdr:colOff>0</xdr:colOff>
      <xdr:row>4</xdr:row>
      <xdr:rowOff>0</xdr:rowOff>
    </xdr:to>
    <xdr:sp macro="" textlink="">
      <xdr:nvSpPr>
        <xdr:cNvPr id="36" name="Rounded Rectangle 35"/>
        <xdr:cNvSpPr/>
      </xdr:nvSpPr>
      <xdr:spPr>
        <a:xfrm>
          <a:off x="2333625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W</a:t>
          </a:r>
        </a:p>
      </xdr:txBody>
    </xdr:sp>
    <xdr:clientData/>
  </xdr:twoCellAnchor>
  <xdr:twoCellAnchor editAs="absolute">
    <xdr:from>
      <xdr:col>7</xdr:col>
      <xdr:colOff>0</xdr:colOff>
      <xdr:row>2</xdr:row>
      <xdr:rowOff>119062</xdr:rowOff>
    </xdr:from>
    <xdr:to>
      <xdr:col>8</xdr:col>
      <xdr:colOff>0</xdr:colOff>
      <xdr:row>4</xdr:row>
      <xdr:rowOff>0</xdr:rowOff>
    </xdr:to>
    <xdr:sp macro="" textlink="">
      <xdr:nvSpPr>
        <xdr:cNvPr id="37" name="Rounded Rectangle 36"/>
        <xdr:cNvSpPr/>
      </xdr:nvSpPr>
      <xdr:spPr>
        <a:xfrm>
          <a:off x="2845594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E</a:t>
          </a:r>
        </a:p>
      </xdr:txBody>
    </xdr:sp>
    <xdr:clientData/>
  </xdr:twoCellAnchor>
  <xdr:twoCellAnchor editAs="absolute">
    <xdr:from>
      <xdr:col>8</xdr:col>
      <xdr:colOff>87923</xdr:colOff>
      <xdr:row>2</xdr:row>
      <xdr:rowOff>119062</xdr:rowOff>
    </xdr:from>
    <xdr:to>
      <xdr:col>10</xdr:col>
      <xdr:colOff>0</xdr:colOff>
      <xdr:row>4</xdr:row>
      <xdr:rowOff>0</xdr:rowOff>
    </xdr:to>
    <xdr:sp macro="" textlink="">
      <xdr:nvSpPr>
        <xdr:cNvPr id="38" name="Rounded Rectangle 37"/>
        <xdr:cNvSpPr/>
      </xdr:nvSpPr>
      <xdr:spPr>
        <a:xfrm>
          <a:off x="3357563" y="500062"/>
          <a:ext cx="428625" cy="892969"/>
        </a:xfrm>
        <a:prstGeom prst="roundRect">
          <a:avLst>
            <a:gd name="adj" fmla="val 14891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R</a:t>
          </a:r>
        </a:p>
      </xdr:txBody>
    </xdr:sp>
    <xdr:clientData/>
  </xdr:twoCellAnchor>
  <xdr:twoCellAnchor editAs="absolute">
    <xdr:from>
      <xdr:col>11</xdr:col>
      <xdr:colOff>0</xdr:colOff>
      <xdr:row>2</xdr:row>
      <xdr:rowOff>119062</xdr:rowOff>
    </xdr:from>
    <xdr:to>
      <xdr:col>11</xdr:col>
      <xdr:colOff>432288</xdr:colOff>
      <xdr:row>4</xdr:row>
      <xdr:rowOff>0</xdr:rowOff>
    </xdr:to>
    <xdr:sp macro="" textlink="">
      <xdr:nvSpPr>
        <xdr:cNvPr id="39" name="Rounded Rectangle 38"/>
        <xdr:cNvSpPr/>
      </xdr:nvSpPr>
      <xdr:spPr>
        <a:xfrm>
          <a:off x="3869531" y="500062"/>
          <a:ext cx="428625" cy="892969"/>
        </a:xfrm>
        <a:prstGeom prst="roundRect">
          <a:avLst>
            <a:gd name="adj" fmla="val 14689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T</a:t>
          </a:r>
        </a:p>
      </xdr:txBody>
    </xdr:sp>
    <xdr:clientData/>
  </xdr:twoCellAnchor>
  <xdr:twoCellAnchor editAs="absolute">
    <xdr:from>
      <xdr:col>13</xdr:col>
      <xdr:colOff>0</xdr:colOff>
      <xdr:row>2</xdr:row>
      <xdr:rowOff>119062</xdr:rowOff>
    </xdr:from>
    <xdr:to>
      <xdr:col>14</xdr:col>
      <xdr:colOff>0</xdr:colOff>
      <xdr:row>4</xdr:row>
      <xdr:rowOff>0</xdr:rowOff>
    </xdr:to>
    <xdr:sp macro="" textlink="">
      <xdr:nvSpPr>
        <xdr:cNvPr id="40" name="Rounded Rectangle 39"/>
        <xdr:cNvSpPr/>
      </xdr:nvSpPr>
      <xdr:spPr>
        <a:xfrm>
          <a:off x="4381500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Y</a:t>
          </a:r>
        </a:p>
      </xdr:txBody>
    </xdr:sp>
    <xdr:clientData/>
  </xdr:twoCellAnchor>
  <xdr:twoCellAnchor editAs="absolute">
    <xdr:from>
      <xdr:col>15</xdr:col>
      <xdr:colOff>1</xdr:colOff>
      <xdr:row>2</xdr:row>
      <xdr:rowOff>119062</xdr:rowOff>
    </xdr:from>
    <xdr:to>
      <xdr:col>16</xdr:col>
      <xdr:colOff>1</xdr:colOff>
      <xdr:row>4</xdr:row>
      <xdr:rowOff>0</xdr:rowOff>
    </xdr:to>
    <xdr:sp macro="" textlink="">
      <xdr:nvSpPr>
        <xdr:cNvPr id="41" name="Rounded Rectangle 40"/>
        <xdr:cNvSpPr/>
      </xdr:nvSpPr>
      <xdr:spPr>
        <a:xfrm>
          <a:off x="4893470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U</a:t>
          </a:r>
        </a:p>
      </xdr:txBody>
    </xdr:sp>
    <xdr:clientData/>
  </xdr:twoCellAnchor>
  <xdr:twoCellAnchor editAs="absolute">
    <xdr:from>
      <xdr:col>17</xdr:col>
      <xdr:colOff>0</xdr:colOff>
      <xdr:row>2</xdr:row>
      <xdr:rowOff>119062</xdr:rowOff>
    </xdr:from>
    <xdr:to>
      <xdr:col>18</xdr:col>
      <xdr:colOff>0</xdr:colOff>
      <xdr:row>4</xdr:row>
      <xdr:rowOff>0</xdr:rowOff>
    </xdr:to>
    <xdr:sp macro="" textlink="">
      <xdr:nvSpPr>
        <xdr:cNvPr id="42" name="Rounded Rectangle 41"/>
        <xdr:cNvSpPr/>
      </xdr:nvSpPr>
      <xdr:spPr>
        <a:xfrm>
          <a:off x="5405438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 editAs="absolute">
    <xdr:from>
      <xdr:col>19</xdr:col>
      <xdr:colOff>0</xdr:colOff>
      <xdr:row>2</xdr:row>
      <xdr:rowOff>119062</xdr:rowOff>
    </xdr:from>
    <xdr:to>
      <xdr:col>20</xdr:col>
      <xdr:colOff>0</xdr:colOff>
      <xdr:row>4</xdr:row>
      <xdr:rowOff>0</xdr:rowOff>
    </xdr:to>
    <xdr:sp macro="" textlink="">
      <xdr:nvSpPr>
        <xdr:cNvPr id="43" name="Rounded Rectangle 42"/>
        <xdr:cNvSpPr/>
      </xdr:nvSpPr>
      <xdr:spPr>
        <a:xfrm>
          <a:off x="5917406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O</a:t>
          </a:r>
        </a:p>
      </xdr:txBody>
    </xdr:sp>
    <xdr:clientData/>
  </xdr:twoCellAnchor>
  <xdr:twoCellAnchor editAs="absolute">
    <xdr:from>
      <xdr:col>21</xdr:col>
      <xdr:colOff>0</xdr:colOff>
      <xdr:row>2</xdr:row>
      <xdr:rowOff>119062</xdr:rowOff>
    </xdr:from>
    <xdr:to>
      <xdr:col>22</xdr:col>
      <xdr:colOff>0</xdr:colOff>
      <xdr:row>4</xdr:row>
      <xdr:rowOff>0</xdr:rowOff>
    </xdr:to>
    <xdr:sp macro="" textlink="">
      <xdr:nvSpPr>
        <xdr:cNvPr id="44" name="Rounded Rectangle 43"/>
        <xdr:cNvSpPr/>
      </xdr:nvSpPr>
      <xdr:spPr>
        <a:xfrm>
          <a:off x="6429375" y="500062"/>
          <a:ext cx="428625" cy="892969"/>
        </a:xfrm>
        <a:prstGeom prst="roundRect">
          <a:avLst>
            <a:gd name="adj" fmla="val 14815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34"/>
  <sheetViews>
    <sheetView showRowColHeaders="0" tabSelected="1" zoomScale="70" zoomScaleNormal="70" workbookViewId="0">
      <selection activeCell="E3" sqref="E3"/>
    </sheetView>
  </sheetViews>
  <sheetFormatPr defaultColWidth="0" defaultRowHeight="15" zeroHeight="1" x14ac:dyDescent="0.25"/>
  <cols>
    <col min="1" max="1" width="28.5703125" style="8" customWidth="1"/>
    <col min="2" max="2" width="9.140625" style="8" customWidth="1"/>
    <col min="3" max="3" width="11.42578125" style="8" customWidth="1"/>
    <col min="4" max="4" width="1.42578125" style="8" customWidth="1"/>
    <col min="5" max="5" width="11.42578125" style="8" customWidth="1"/>
    <col min="6" max="6" width="1.42578125" style="8" customWidth="1"/>
    <col min="7" max="7" width="11.42578125" style="8" customWidth="1"/>
    <col min="8" max="8" width="1.42578125" style="8" customWidth="1"/>
    <col min="9" max="9" width="11.42578125" style="8" customWidth="1"/>
    <col min="10" max="10" width="1.42578125" style="8" customWidth="1"/>
    <col min="11" max="11" width="11.42578125" style="8" customWidth="1"/>
    <col min="12" max="12" width="9.140625" style="8" customWidth="1"/>
    <col min="13" max="13" width="28.5703125" style="8" customWidth="1"/>
    <col min="14" max="20" width="9.140625" style="8" hidden="1"/>
    <col min="21" max="21" width="10.140625" style="8" hidden="1"/>
    <col min="22" max="28" width="9.140625" style="8" hidden="1"/>
    <col min="29" max="29" width="11.140625" style="8" hidden="1"/>
    <col min="30" max="16384" width="9.140625" style="8" hidden="1"/>
  </cols>
  <sheetData>
    <row r="1" spans="1:35" ht="75" customHeight="1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</row>
    <row r="2" spans="1:3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</row>
    <row r="3" spans="1:3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35" ht="15.75" customHeight="1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35" ht="15.75" thickBot="1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35" ht="60" customHeight="1" thickBot="1" x14ac:dyDescent="0.3">
      <c r="A6" s="22"/>
      <c r="B6" s="22"/>
      <c r="C6" s="10"/>
      <c r="D6" s="22"/>
      <c r="E6" s="10"/>
      <c r="F6" s="22"/>
      <c r="G6" s="10"/>
      <c r="H6" s="22"/>
      <c r="I6" s="10"/>
      <c r="J6" s="22"/>
      <c r="K6" s="10"/>
      <c r="L6" s="22"/>
      <c r="M6" s="22"/>
      <c r="R6" s="4" t="s">
        <v>2319</v>
      </c>
      <c r="S6" s="5" t="s">
        <v>2319</v>
      </c>
      <c r="U6" s="3" t="s">
        <v>2319</v>
      </c>
      <c r="X6" s="10" t="s">
        <v>2319</v>
      </c>
      <c r="Z6" s="11" t="s">
        <v>2319</v>
      </c>
      <c r="AB6" s="21" t="s">
        <v>2319</v>
      </c>
      <c r="AC6" s="20"/>
      <c r="AD6" s="19" t="s">
        <v>2319</v>
      </c>
    </row>
    <row r="7" spans="1:35" ht="7.5" customHeight="1" thickBot="1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35" ht="60" customHeight="1" thickBot="1" x14ac:dyDescent="0.3">
      <c r="A8" s="22"/>
      <c r="B8" s="22"/>
      <c r="C8" s="10"/>
      <c r="D8" s="22"/>
      <c r="E8" s="10"/>
      <c r="F8" s="22"/>
      <c r="G8" s="10"/>
      <c r="H8" s="22"/>
      <c r="I8" s="10"/>
      <c r="J8" s="22"/>
      <c r="K8" s="10"/>
      <c r="L8" s="22"/>
      <c r="M8" s="22"/>
      <c r="Y8" s="8" t="s">
        <v>2324</v>
      </c>
      <c r="Z8" s="8">
        <v>1</v>
      </c>
    </row>
    <row r="9" spans="1:35" ht="7.5" customHeight="1" thickBot="1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35" ht="60" customHeight="1" thickBot="1" x14ac:dyDescent="0.3">
      <c r="A10" s="22"/>
      <c r="B10" s="22"/>
      <c r="C10" s="10"/>
      <c r="D10" s="22"/>
      <c r="E10" s="10"/>
      <c r="F10" s="22"/>
      <c r="G10" s="10"/>
      <c r="H10" s="22"/>
      <c r="I10" s="10"/>
      <c r="J10" s="22"/>
      <c r="K10" s="10"/>
      <c r="L10" s="22"/>
      <c r="M10" s="22"/>
      <c r="R10" s="6" t="s">
        <v>2319</v>
      </c>
      <c r="S10" s="7" t="s">
        <v>2319</v>
      </c>
      <c r="T10" s="8">
        <f>COLUMN(T11)</f>
        <v>20</v>
      </c>
      <c r="Y10" s="8" t="s">
        <v>2325</v>
      </c>
      <c r="Z10" s="8">
        <v>1</v>
      </c>
    </row>
    <row r="11" spans="1:35" ht="7.5" customHeight="1" thickBot="1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1:35" ht="60" customHeight="1" thickBot="1" x14ac:dyDescent="0.3">
      <c r="A12" s="22"/>
      <c r="B12" s="22"/>
      <c r="C12" s="10"/>
      <c r="D12" s="22"/>
      <c r="E12" s="10"/>
      <c r="F12" s="22"/>
      <c r="G12" s="10"/>
      <c r="H12" s="22"/>
      <c r="I12" s="10"/>
      <c r="J12" s="22"/>
      <c r="K12" s="10"/>
      <c r="L12" s="22"/>
      <c r="M12" s="22"/>
    </row>
    <row r="13" spans="1:35" ht="7.5" customHeight="1" thickBot="1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35" ht="60" customHeight="1" thickBot="1" x14ac:dyDescent="0.3">
      <c r="A14" s="22"/>
      <c r="B14" s="22"/>
      <c r="C14" s="10"/>
      <c r="D14" s="22"/>
      <c r="E14" s="10"/>
      <c r="F14" s="22"/>
      <c r="G14" s="10"/>
      <c r="H14" s="22"/>
      <c r="I14" s="10"/>
      <c r="J14" s="22"/>
      <c r="K14" s="10"/>
      <c r="L14" s="22"/>
      <c r="M14" s="22"/>
    </row>
    <row r="15" spans="1:35" ht="7.5" customHeight="1" thickBot="1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35" ht="60" customHeight="1" thickBot="1" x14ac:dyDescent="0.3">
      <c r="A16" s="22"/>
      <c r="B16" s="22"/>
      <c r="C16" s="10"/>
      <c r="D16" s="22"/>
      <c r="E16" s="10"/>
      <c r="F16" s="22"/>
      <c r="G16" s="10"/>
      <c r="H16" s="22"/>
      <c r="I16" s="10"/>
      <c r="J16" s="22"/>
      <c r="K16" s="10"/>
      <c r="L16" s="22"/>
      <c r="M16" s="22"/>
      <c r="R16" s="8" t="s">
        <v>2331</v>
      </c>
      <c r="S16" s="8" t="s">
        <v>2332</v>
      </c>
      <c r="U16" s="8" t="s">
        <v>2327</v>
      </c>
      <c r="AI16" s="13"/>
    </row>
    <row r="17" spans="1:3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Q17" s="8" t="s">
        <v>2319</v>
      </c>
      <c r="R17" s="8">
        <v>216</v>
      </c>
      <c r="S17" s="8">
        <v>108</v>
      </c>
      <c r="U17" s="8">
        <v>64</v>
      </c>
      <c r="AB17" s="8" t="s">
        <v>2352</v>
      </c>
      <c r="AE17" s="8" t="s">
        <v>2353</v>
      </c>
      <c r="AI17" s="14"/>
    </row>
    <row r="18" spans="1:3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Q18" s="8" t="s">
        <v>2320</v>
      </c>
      <c r="R18" s="8">
        <v>194</v>
      </c>
      <c r="S18" s="8">
        <v>166</v>
      </c>
      <c r="U18" s="8">
        <v>64</v>
      </c>
      <c r="AB18" s="15" t="s">
        <v>2349</v>
      </c>
      <c r="AC18" s="8" t="s">
        <v>2344</v>
      </c>
      <c r="AE18" s="15" t="s">
        <v>2349</v>
      </c>
      <c r="AF18" s="8" t="s">
        <v>2344</v>
      </c>
      <c r="AI18" s="14"/>
    </row>
    <row r="19" spans="1:3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Q19" s="8" t="s">
        <v>2321</v>
      </c>
      <c r="R19" s="8">
        <v>64</v>
      </c>
      <c r="S19" s="8">
        <v>44</v>
      </c>
      <c r="U19" s="8">
        <v>64</v>
      </c>
      <c r="AB19" s="8">
        <v>1</v>
      </c>
      <c r="AC19" s="8">
        <v>0</v>
      </c>
      <c r="AE19" s="8">
        <v>1</v>
      </c>
      <c r="AF19" s="8">
        <v>0</v>
      </c>
      <c r="AI19" s="14"/>
    </row>
    <row r="20" spans="1:3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Y20" s="15" t="s">
        <v>2342</v>
      </c>
      <c r="Z20" s="12" t="s">
        <v>401</v>
      </c>
      <c r="AB20" s="8">
        <v>2</v>
      </c>
      <c r="AC20" s="8">
        <v>1</v>
      </c>
      <c r="AE20" s="8">
        <v>2</v>
      </c>
      <c r="AF20" s="8">
        <v>2</v>
      </c>
      <c r="AI20" s="14"/>
    </row>
    <row r="21" spans="1:35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Y21" s="15" t="s">
        <v>2333</v>
      </c>
      <c r="Z21" s="8" t="s">
        <v>2336</v>
      </c>
      <c r="AB21" s="8">
        <v>3</v>
      </c>
      <c r="AC21" s="8">
        <v>2</v>
      </c>
      <c r="AE21" s="8">
        <v>3</v>
      </c>
      <c r="AF21" s="8">
        <v>1</v>
      </c>
      <c r="AI21" s="14"/>
    </row>
    <row r="22" spans="1:35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S22" s="8" t="s">
        <v>2326</v>
      </c>
      <c r="Y22" s="15" t="s">
        <v>2334</v>
      </c>
      <c r="Z22" s="8" t="s">
        <v>2343</v>
      </c>
      <c r="AB22" s="8">
        <v>4</v>
      </c>
      <c r="AC22" s="8">
        <v>0</v>
      </c>
      <c r="AE22" s="8">
        <v>4</v>
      </c>
      <c r="AF22" s="8">
        <v>1</v>
      </c>
      <c r="AI22" s="14"/>
    </row>
    <row r="23" spans="1:35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S23" s="8">
        <v>166</v>
      </c>
      <c r="Y23" s="15" t="s">
        <v>2338</v>
      </c>
      <c r="Z23" s="8" t="s">
        <v>2336</v>
      </c>
      <c r="AB23" s="8">
        <v>5</v>
      </c>
      <c r="AC23" s="8">
        <v>0</v>
      </c>
      <c r="AE23" s="8">
        <v>5</v>
      </c>
      <c r="AF23" s="8">
        <v>7</v>
      </c>
      <c r="AI23" s="14"/>
    </row>
    <row r="24" spans="1:35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S24" s="8">
        <v>166</v>
      </c>
      <c r="Y24" s="15" t="s">
        <v>2335</v>
      </c>
      <c r="Z24" s="24">
        <f ca="1">TODAY()</f>
        <v>44673</v>
      </c>
      <c r="AB24" s="8">
        <v>6</v>
      </c>
      <c r="AC24" s="8">
        <v>0</v>
      </c>
      <c r="AE24" s="8">
        <v>6</v>
      </c>
      <c r="AF24" s="8">
        <v>3</v>
      </c>
      <c r="AI24" s="14"/>
    </row>
    <row r="25" spans="1:35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S25" s="8">
        <v>166</v>
      </c>
      <c r="Y25" s="15" t="s">
        <v>2337</v>
      </c>
      <c r="Z25" s="12" t="str">
        <f ca="1">INDEX('wordle word list'!A2:A2317,MATCH(Wordle!Z24,'wordle word list'!C2:C2317,0))</f>
        <v>abbot</v>
      </c>
      <c r="AB25" s="15" t="s">
        <v>2345</v>
      </c>
      <c r="AC25" s="8">
        <v>3</v>
      </c>
      <c r="AE25" s="15" t="s">
        <v>2345</v>
      </c>
      <c r="AF25" s="8">
        <v>14</v>
      </c>
      <c r="AI25" s="14"/>
    </row>
    <row r="26" spans="1:35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AB26" s="15" t="s">
        <v>2346</v>
      </c>
      <c r="AC26" s="8">
        <f>AVERAGE(AC19:AC24)</f>
        <v>0.5</v>
      </c>
      <c r="AE26" s="15" t="s">
        <v>2346</v>
      </c>
      <c r="AF26" s="8">
        <f>AVERAGE(AF19:AF24)</f>
        <v>2.3333333333333335</v>
      </c>
      <c r="AI26" s="14"/>
    </row>
    <row r="27" spans="1:35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R27" s="8" t="s">
        <v>2328</v>
      </c>
      <c r="S27" s="8" t="s">
        <v>175</v>
      </c>
      <c r="AB27" s="15" t="s">
        <v>2347</v>
      </c>
      <c r="AC27" s="8">
        <v>0</v>
      </c>
      <c r="AE27" s="15" t="s">
        <v>2347</v>
      </c>
      <c r="AF27" s="8">
        <v>0</v>
      </c>
      <c r="AI27" s="14"/>
    </row>
    <row r="28" spans="1:35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R28" s="8">
        <v>216</v>
      </c>
      <c r="S28" s="8">
        <v>108</v>
      </c>
      <c r="AB28" s="15" t="s">
        <v>2348</v>
      </c>
      <c r="AC28" s="25">
        <f>IF((AC25+AC27)=0, 0, AC25/(AC25+AC27))</f>
        <v>1</v>
      </c>
      <c r="AE28" s="15" t="s">
        <v>2348</v>
      </c>
      <c r="AF28" s="25">
        <f>IF((AF25+AF27)=0, 0, AF25/(AF25+AF27))</f>
        <v>1</v>
      </c>
    </row>
    <row r="29" spans="1:35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R29" s="8">
        <v>194</v>
      </c>
      <c r="S29" s="8">
        <v>166</v>
      </c>
      <c r="AB29" s="15" t="s">
        <v>2350</v>
      </c>
      <c r="AC29" s="8">
        <v>3</v>
      </c>
      <c r="AE29" s="15" t="s">
        <v>2350</v>
      </c>
      <c r="AF29" s="8">
        <v>14</v>
      </c>
    </row>
    <row r="30" spans="1:35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R30" s="8">
        <v>64</v>
      </c>
      <c r="S30" s="8">
        <v>44</v>
      </c>
      <c r="AB30" s="15" t="s">
        <v>2351</v>
      </c>
      <c r="AC30" s="8">
        <v>3</v>
      </c>
      <c r="AE30" s="15" t="s">
        <v>2351</v>
      </c>
      <c r="AF30" s="8">
        <v>14</v>
      </c>
    </row>
    <row r="31" spans="1:35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R31" s="8" t="s">
        <v>2329</v>
      </c>
      <c r="S31" s="8" t="s">
        <v>2330</v>
      </c>
    </row>
    <row r="32" spans="1:35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R32" s="8">
        <v>134</v>
      </c>
      <c r="S32" s="8">
        <v>240</v>
      </c>
      <c r="AB32" s="15" t="s">
        <v>2414</v>
      </c>
      <c r="AC32" s="9">
        <v>44672</v>
      </c>
    </row>
    <row r="33" spans="1:29" ht="47.25" customHeight="1" x14ac:dyDescent="0.25">
      <c r="A33" s="22"/>
      <c r="B33" s="84" t="s">
        <v>2407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R33" s="8">
        <v>178</v>
      </c>
      <c r="S33" s="8">
        <v>125</v>
      </c>
      <c r="AC33" s="9"/>
    </row>
    <row r="34" spans="1:29" hidden="1" x14ac:dyDescent="0.25">
      <c r="R34" s="8">
        <v>218</v>
      </c>
      <c r="S34" s="8">
        <v>10</v>
      </c>
      <c r="V34" s="15" t="s">
        <v>2351</v>
      </c>
      <c r="AC34" s="9"/>
    </row>
  </sheetData>
  <sheetProtection sheet="1" objects="1" scenarios="1" selectLockedCells="1" selectUnlockedCells="1"/>
  <mergeCells count="1">
    <mergeCell ref="B33:M3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2"/>
  <sheetViews>
    <sheetView showGridLines="0" showRowColHeaders="0" workbookViewId="0"/>
  </sheetViews>
  <sheetFormatPr defaultColWidth="0" defaultRowHeight="15" zeroHeight="1" x14ac:dyDescent="0.25"/>
  <cols>
    <col min="1" max="1" width="5.140625" style="8" customWidth="1"/>
    <col min="2" max="2" width="9.7109375" style="8" bestFit="1" customWidth="1"/>
    <col min="3" max="3" width="13.28515625" style="8" bestFit="1" customWidth="1"/>
    <col min="4" max="5" width="9.7109375" style="8" bestFit="1" customWidth="1"/>
    <col min="6" max="6" width="10.85546875" style="8" bestFit="1" customWidth="1"/>
    <col min="7" max="7" width="9.140625" style="8" customWidth="1"/>
    <col min="8" max="8" width="9.7109375" style="8" bestFit="1" customWidth="1"/>
    <col min="9" max="9" width="13.28515625" style="8" bestFit="1" customWidth="1"/>
    <col min="10" max="11" width="9.7109375" style="8" bestFit="1" customWidth="1"/>
    <col min="12" max="12" width="10.85546875" style="8" bestFit="1" customWidth="1"/>
    <col min="13" max="13" width="9.140625" style="8" customWidth="1"/>
    <col min="14" max="16384" width="9.140625" style="8" hidden="1"/>
  </cols>
  <sheetData>
    <row r="1" spans="2:12" ht="42" customHeight="1" x14ac:dyDescent="0.25"/>
    <row r="2" spans="2:12" x14ac:dyDescent="0.25">
      <c r="B2" s="85" t="s">
        <v>2359</v>
      </c>
      <c r="C2" s="85"/>
      <c r="D2" s="85"/>
      <c r="E2" s="85"/>
      <c r="F2" s="85"/>
      <c r="G2" s="26"/>
      <c r="H2" s="85" t="s">
        <v>2361</v>
      </c>
      <c r="I2" s="85"/>
      <c r="J2" s="85"/>
      <c r="K2" s="85"/>
      <c r="L2" s="85"/>
    </row>
    <row r="3" spans="2:12" ht="53.25" customHeight="1" x14ac:dyDescent="0.25">
      <c r="B3" s="27">
        <f>Wordle!AC25+Wordle!AC27</f>
        <v>3</v>
      </c>
      <c r="C3" s="30">
        <f>Wordle!AC28</f>
        <v>1</v>
      </c>
      <c r="D3" s="27">
        <f>Wordle!AC29</f>
        <v>3</v>
      </c>
      <c r="E3" s="27">
        <f>Wordle!AC30</f>
        <v>3</v>
      </c>
      <c r="F3" s="28">
        <f>Wordle!AC26</f>
        <v>0.5</v>
      </c>
      <c r="G3" s="26"/>
      <c r="H3" s="27">
        <f>Wordle!AF25+Wordle!AF27</f>
        <v>14</v>
      </c>
      <c r="I3" s="30">
        <f>Wordle!AF28</f>
        <v>1</v>
      </c>
      <c r="J3" s="27">
        <f>Wordle!AF29</f>
        <v>14</v>
      </c>
      <c r="K3" s="27">
        <f>Wordle!AF30</f>
        <v>14</v>
      </c>
      <c r="L3" s="28">
        <f>Wordle!AF26</f>
        <v>2.3333333333333335</v>
      </c>
    </row>
    <row r="4" spans="2:12" ht="24" x14ac:dyDescent="0.25">
      <c r="B4" s="29" t="s">
        <v>2354</v>
      </c>
      <c r="C4" s="29" t="s">
        <v>2355</v>
      </c>
      <c r="D4" s="29" t="s">
        <v>2356</v>
      </c>
      <c r="E4" s="29" t="s">
        <v>2357</v>
      </c>
      <c r="F4" s="29" t="s">
        <v>2358</v>
      </c>
      <c r="G4" s="26"/>
      <c r="H4" s="29" t="s">
        <v>2354</v>
      </c>
      <c r="I4" s="29" t="s">
        <v>2355</v>
      </c>
      <c r="J4" s="29" t="s">
        <v>2356</v>
      </c>
      <c r="K4" s="29" t="s">
        <v>2357</v>
      </c>
      <c r="L4" s="29" t="s">
        <v>2358</v>
      </c>
    </row>
    <row r="5" spans="2:12" x14ac:dyDescent="0.25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2:12" x14ac:dyDescent="0.25">
      <c r="B6" s="86" t="s">
        <v>2360</v>
      </c>
      <c r="C6" s="86"/>
      <c r="D6" s="86"/>
      <c r="E6" s="86"/>
      <c r="F6" s="86"/>
      <c r="G6" s="26"/>
      <c r="H6" s="86" t="s">
        <v>2360</v>
      </c>
      <c r="I6" s="86"/>
      <c r="J6" s="86"/>
      <c r="K6" s="86"/>
      <c r="L6" s="86"/>
    </row>
    <row r="7" spans="2:12" x14ac:dyDescent="0.25"/>
    <row r="8" spans="2:12" x14ac:dyDescent="0.25">
      <c r="B8" s="76">
        <v>1</v>
      </c>
      <c r="C8" s="76">
        <f>Wordle!AC19</f>
        <v>0</v>
      </c>
      <c r="H8" s="76">
        <v>1</v>
      </c>
      <c r="I8" s="76">
        <f>Wordle!AF19</f>
        <v>0</v>
      </c>
    </row>
    <row r="9" spans="2:12" x14ac:dyDescent="0.25">
      <c r="B9" s="76">
        <v>2</v>
      </c>
      <c r="C9" s="76">
        <f>Wordle!AC20</f>
        <v>1</v>
      </c>
      <c r="H9" s="76">
        <v>2</v>
      </c>
      <c r="I9" s="76">
        <f>Wordle!AF20</f>
        <v>2</v>
      </c>
    </row>
    <row r="10" spans="2:12" x14ac:dyDescent="0.25">
      <c r="B10" s="76">
        <v>3</v>
      </c>
      <c r="C10" s="76">
        <f>Wordle!AC21</f>
        <v>2</v>
      </c>
      <c r="H10" s="76">
        <v>3</v>
      </c>
      <c r="I10" s="76">
        <f>Wordle!AF21</f>
        <v>1</v>
      </c>
    </row>
    <row r="11" spans="2:12" x14ac:dyDescent="0.25">
      <c r="B11" s="76">
        <v>4</v>
      </c>
      <c r="C11" s="76">
        <f>Wordle!AC22</f>
        <v>0</v>
      </c>
      <c r="H11" s="76">
        <v>4</v>
      </c>
      <c r="I11" s="76">
        <f>Wordle!AF22</f>
        <v>1</v>
      </c>
    </row>
    <row r="12" spans="2:12" x14ac:dyDescent="0.25">
      <c r="B12" s="76">
        <v>5</v>
      </c>
      <c r="C12" s="76">
        <f>Wordle!AC23</f>
        <v>0</v>
      </c>
      <c r="H12" s="76">
        <v>5</v>
      </c>
      <c r="I12" s="76">
        <f>Wordle!AF23</f>
        <v>7</v>
      </c>
    </row>
    <row r="13" spans="2:12" x14ac:dyDescent="0.25">
      <c r="B13" s="76">
        <v>6</v>
      </c>
      <c r="C13" s="76">
        <f>Wordle!AC24</f>
        <v>0</v>
      </c>
      <c r="H13" s="76">
        <v>6</v>
      </c>
      <c r="I13" s="76">
        <f>Wordle!AF24</f>
        <v>3</v>
      </c>
    </row>
    <row r="14" spans="2:12" x14ac:dyDescent="0.25">
      <c r="B14" s="76"/>
      <c r="C14" s="76"/>
    </row>
    <row r="15" spans="2:12" x14ac:dyDescent="0.25"/>
    <row r="16" spans="2:12" x14ac:dyDescent="0.25"/>
    <row r="17" spans="26:26" x14ac:dyDescent="0.25"/>
    <row r="18" spans="26:26" x14ac:dyDescent="0.25"/>
    <row r="19" spans="26:26" x14ac:dyDescent="0.25"/>
    <row r="20" spans="26:26" x14ac:dyDescent="0.25"/>
    <row r="21" spans="26:26" hidden="1" x14ac:dyDescent="0.25"/>
    <row r="22" spans="26:26" hidden="1" x14ac:dyDescent="0.25">
      <c r="Z22" s="31" t="s">
        <v>2343</v>
      </c>
    </row>
  </sheetData>
  <sheetProtection sheet="1" objects="1" scenarios="1"/>
  <mergeCells count="4">
    <mergeCell ref="B2:F2"/>
    <mergeCell ref="B6:F6"/>
    <mergeCell ref="H2:L2"/>
    <mergeCell ref="H6:L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22"/>
  <sheetViews>
    <sheetView showGridLines="0" showRowColHeaders="0" workbookViewId="0"/>
  </sheetViews>
  <sheetFormatPr defaultColWidth="0" defaultRowHeight="15" customHeight="1" zeroHeight="1" x14ac:dyDescent="0.25"/>
  <cols>
    <col min="1" max="1" width="5.140625" style="78" customWidth="1"/>
    <col min="2" max="2" width="9.7109375" style="78" bestFit="1" customWidth="1"/>
    <col min="3" max="3" width="13.28515625" style="78" bestFit="1" customWidth="1"/>
    <col min="4" max="5" width="9.7109375" style="78" bestFit="1" customWidth="1"/>
    <col min="6" max="6" width="10.85546875" style="78" bestFit="1" customWidth="1"/>
    <col min="7" max="7" width="9.140625" style="78" customWidth="1"/>
    <col min="8" max="8" width="9.7109375" style="78" bestFit="1" customWidth="1"/>
    <col min="9" max="9" width="13.28515625" style="78" bestFit="1" customWidth="1"/>
    <col min="10" max="11" width="9.7109375" style="78" bestFit="1" customWidth="1"/>
    <col min="12" max="12" width="10.85546875" style="78" bestFit="1" customWidth="1"/>
    <col min="13" max="13" width="9.140625" style="78" customWidth="1"/>
    <col min="14" max="16384" width="9.140625" style="78" hidden="1"/>
  </cols>
  <sheetData>
    <row r="1" spans="2:12" ht="42" customHeight="1" x14ac:dyDescent="0.25"/>
    <row r="2" spans="2:12" x14ac:dyDescent="0.25">
      <c r="B2" s="87" t="s">
        <v>2359</v>
      </c>
      <c r="C2" s="87"/>
      <c r="D2" s="87"/>
      <c r="E2" s="87"/>
      <c r="F2" s="87"/>
      <c r="G2" s="79"/>
      <c r="H2" s="87" t="s">
        <v>2361</v>
      </c>
      <c r="I2" s="87"/>
      <c r="J2" s="87"/>
      <c r="K2" s="87"/>
      <c r="L2" s="87"/>
    </row>
    <row r="3" spans="2:12" ht="53.25" customHeight="1" x14ac:dyDescent="0.25">
      <c r="B3" s="80">
        <f>Wordle!AC25+Wordle!AC27</f>
        <v>3</v>
      </c>
      <c r="C3" s="81">
        <f>Wordle!AC28</f>
        <v>1</v>
      </c>
      <c r="D3" s="80">
        <f>Wordle!AC29</f>
        <v>3</v>
      </c>
      <c r="E3" s="80">
        <f>Wordle!AC30</f>
        <v>3</v>
      </c>
      <c r="F3" s="82">
        <f>Wordle!AC26</f>
        <v>0.5</v>
      </c>
      <c r="G3" s="79"/>
      <c r="H3" s="80">
        <f>Wordle!AF25+Wordle!AF27</f>
        <v>14</v>
      </c>
      <c r="I3" s="81">
        <f>Wordle!AF28</f>
        <v>1</v>
      </c>
      <c r="J3" s="80">
        <f>Wordle!AF29</f>
        <v>14</v>
      </c>
      <c r="K3" s="80">
        <f>Wordle!AF30</f>
        <v>14</v>
      </c>
      <c r="L3" s="82">
        <f>Wordle!AF26</f>
        <v>2.3333333333333335</v>
      </c>
    </row>
    <row r="4" spans="2:12" ht="24" x14ac:dyDescent="0.25">
      <c r="B4" s="83" t="s">
        <v>2354</v>
      </c>
      <c r="C4" s="83" t="s">
        <v>2355</v>
      </c>
      <c r="D4" s="83" t="s">
        <v>2356</v>
      </c>
      <c r="E4" s="83" t="s">
        <v>2357</v>
      </c>
      <c r="F4" s="83" t="s">
        <v>2358</v>
      </c>
      <c r="G4" s="79"/>
      <c r="H4" s="83" t="s">
        <v>2354</v>
      </c>
      <c r="I4" s="83" t="s">
        <v>2355</v>
      </c>
      <c r="J4" s="83" t="s">
        <v>2356</v>
      </c>
      <c r="K4" s="83" t="s">
        <v>2357</v>
      </c>
      <c r="L4" s="83" t="s">
        <v>2358</v>
      </c>
    </row>
    <row r="5" spans="2:12" x14ac:dyDescent="0.25"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</row>
    <row r="6" spans="2:12" x14ac:dyDescent="0.25">
      <c r="B6" s="88" t="s">
        <v>2360</v>
      </c>
      <c r="C6" s="88"/>
      <c r="D6" s="88"/>
      <c r="E6" s="88"/>
      <c r="F6" s="88"/>
      <c r="G6" s="79"/>
      <c r="H6" s="88" t="s">
        <v>2360</v>
      </c>
      <c r="I6" s="88"/>
      <c r="J6" s="88"/>
      <c r="K6" s="88"/>
      <c r="L6" s="88"/>
    </row>
    <row r="7" spans="2:12" x14ac:dyDescent="0.25"/>
    <row r="8" spans="2:12" x14ac:dyDescent="0.25">
      <c r="B8" s="77">
        <v>1</v>
      </c>
      <c r="C8" s="77">
        <f>Wordle!AC19</f>
        <v>0</v>
      </c>
      <c r="H8" s="77">
        <v>1</v>
      </c>
      <c r="I8" s="77">
        <f>Wordle!AF19</f>
        <v>0</v>
      </c>
    </row>
    <row r="9" spans="2:12" x14ac:dyDescent="0.25">
      <c r="B9" s="77">
        <v>2</v>
      </c>
      <c r="C9" s="77">
        <f>Wordle!AC20</f>
        <v>1</v>
      </c>
      <c r="H9" s="77">
        <v>2</v>
      </c>
      <c r="I9" s="77">
        <f>Wordle!AF20</f>
        <v>2</v>
      </c>
    </row>
    <row r="10" spans="2:12" x14ac:dyDescent="0.25">
      <c r="B10" s="77">
        <v>3</v>
      </c>
      <c r="C10" s="77">
        <f>Wordle!AC21</f>
        <v>2</v>
      </c>
      <c r="H10" s="77">
        <v>3</v>
      </c>
      <c r="I10" s="77">
        <f>Wordle!AF21</f>
        <v>1</v>
      </c>
    </row>
    <row r="11" spans="2:12" x14ac:dyDescent="0.25">
      <c r="B11" s="77">
        <v>4</v>
      </c>
      <c r="C11" s="77">
        <f>Wordle!AC22</f>
        <v>0</v>
      </c>
      <c r="H11" s="77">
        <v>4</v>
      </c>
      <c r="I11" s="77">
        <f>Wordle!AF22</f>
        <v>1</v>
      </c>
    </row>
    <row r="12" spans="2:12" x14ac:dyDescent="0.25">
      <c r="B12" s="77">
        <v>5</v>
      </c>
      <c r="C12" s="77">
        <f>Wordle!AC23</f>
        <v>0</v>
      </c>
      <c r="H12" s="77">
        <v>5</v>
      </c>
      <c r="I12" s="77">
        <f>Wordle!AF23</f>
        <v>7</v>
      </c>
    </row>
    <row r="13" spans="2:12" x14ac:dyDescent="0.25">
      <c r="B13" s="77">
        <v>6</v>
      </c>
      <c r="C13" s="77">
        <f>Wordle!AC24</f>
        <v>0</v>
      </c>
      <c r="H13" s="77">
        <v>6</v>
      </c>
      <c r="I13" s="77">
        <f>Wordle!AF24</f>
        <v>3</v>
      </c>
    </row>
    <row r="14" spans="2:12" x14ac:dyDescent="0.25"/>
    <row r="15" spans="2:12" x14ac:dyDescent="0.25"/>
    <row r="16" spans="2:12" x14ac:dyDescent="0.25"/>
    <row r="17" spans="26:26" x14ac:dyDescent="0.25"/>
    <row r="18" spans="26:26" x14ac:dyDescent="0.25"/>
    <row r="19" spans="26:26" x14ac:dyDescent="0.25"/>
    <row r="20" spans="26:26" x14ac:dyDescent="0.25"/>
    <row r="21" spans="26:26" hidden="1" x14ac:dyDescent="0.25"/>
    <row r="22" spans="26:26" hidden="1" x14ac:dyDescent="0.25">
      <c r="Z22" s="78" t="s">
        <v>2343</v>
      </c>
    </row>
  </sheetData>
  <sheetProtection sheet="1" objects="1" scenarios="1"/>
  <mergeCells count="4">
    <mergeCell ref="B2:F2"/>
    <mergeCell ref="H2:L2"/>
    <mergeCell ref="B6:F6"/>
    <mergeCell ref="H6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4"/>
  <sheetViews>
    <sheetView showGridLines="0" showRowColHeaders="0" workbookViewId="0">
      <selection activeCell="D32" sqref="D32"/>
    </sheetView>
  </sheetViews>
  <sheetFormatPr defaultColWidth="0" defaultRowHeight="14.25" zeroHeight="1" x14ac:dyDescent="0.2"/>
  <cols>
    <col min="1" max="1" width="6.42578125" style="35" customWidth="1"/>
    <col min="2" max="2" width="7" style="35" customWidth="1"/>
    <col min="3" max="3" width="1.42578125" style="35" customWidth="1"/>
    <col min="4" max="4" width="7" style="35" customWidth="1"/>
    <col min="5" max="5" width="1.42578125" style="35" customWidth="1"/>
    <col min="6" max="6" width="7" style="35" customWidth="1"/>
    <col min="7" max="7" width="1.42578125" style="35" customWidth="1"/>
    <col min="8" max="8" width="7" style="35" customWidth="1"/>
    <col min="9" max="9" width="1.42578125" style="35" customWidth="1"/>
    <col min="10" max="10" width="7" style="35" customWidth="1"/>
    <col min="11" max="14" width="9.140625" style="35" customWidth="1"/>
    <col min="15" max="16384" width="9.140625" style="35" hidden="1"/>
  </cols>
  <sheetData>
    <row r="1" spans="1:17" ht="18.75" customHeight="1" x14ac:dyDescent="0.2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17" ht="24.75" customHeight="1" x14ac:dyDescent="0.2">
      <c r="A2" s="36"/>
      <c r="B2" s="89" t="s">
        <v>2362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36"/>
    </row>
    <row r="3" spans="1:17" ht="15" x14ac:dyDescent="0.25">
      <c r="A3" s="36"/>
      <c r="B3" s="36" t="s">
        <v>2379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</row>
    <row r="4" spans="1:17" ht="9" customHeight="1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</row>
    <row r="5" spans="1:17" x14ac:dyDescent="0.2">
      <c r="A5" s="36"/>
      <c r="B5" s="36" t="s">
        <v>2363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</row>
    <row r="6" spans="1:17" ht="9" customHeight="1" x14ac:dyDescent="0.2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</row>
    <row r="7" spans="1:17" x14ac:dyDescent="0.2">
      <c r="A7" s="36"/>
      <c r="B7" s="36" t="s">
        <v>2364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</row>
    <row r="8" spans="1:17" ht="15.95" customHeight="1" x14ac:dyDescent="0.2">
      <c r="A8" s="36"/>
      <c r="B8" s="36" t="s">
        <v>2365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1:17" ht="9" customHeight="1" x14ac:dyDescent="0.2">
      <c r="A9" s="36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36"/>
    </row>
    <row r="10" spans="1:17" ht="9" customHeight="1" x14ac:dyDescent="0.2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</row>
    <row r="11" spans="1:17" ht="15" x14ac:dyDescent="0.25">
      <c r="A11" s="36"/>
      <c r="B11" s="37" t="s">
        <v>2383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7" ht="15" thickBot="1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1:17" ht="36" thickBot="1" x14ac:dyDescent="0.5">
      <c r="A13" s="36"/>
      <c r="B13" s="32" t="s">
        <v>2366</v>
      </c>
      <c r="C13" s="38"/>
      <c r="D13" s="39" t="s">
        <v>2367</v>
      </c>
      <c r="E13" s="38"/>
      <c r="F13" s="39" t="s">
        <v>2368</v>
      </c>
      <c r="G13" s="38"/>
      <c r="H13" s="39" t="s">
        <v>2319</v>
      </c>
      <c r="I13" s="38"/>
      <c r="J13" s="39" t="s">
        <v>2369</v>
      </c>
      <c r="K13" s="36"/>
      <c r="L13" s="36"/>
      <c r="M13" s="36"/>
      <c r="N13" s="36"/>
      <c r="Q13" s="32" t="s">
        <v>2366</v>
      </c>
    </row>
    <row r="14" spans="1:17" ht="9" customHeight="1" x14ac:dyDescent="0.2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17" ht="15" x14ac:dyDescent="0.25">
      <c r="A15" s="36"/>
      <c r="B15" s="36" t="s">
        <v>2380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17" ht="15" thickBo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</row>
    <row r="17" spans="1:17" ht="36" thickBot="1" x14ac:dyDescent="0.5">
      <c r="A17" s="36"/>
      <c r="B17" s="39" t="s">
        <v>2370</v>
      </c>
      <c r="C17" s="38"/>
      <c r="D17" s="33" t="s">
        <v>2371</v>
      </c>
      <c r="E17" s="38"/>
      <c r="F17" s="39" t="s">
        <v>2372</v>
      </c>
      <c r="G17" s="38"/>
      <c r="H17" s="39" t="s">
        <v>2372</v>
      </c>
      <c r="I17" s="38"/>
      <c r="J17" s="39" t="s">
        <v>2373</v>
      </c>
      <c r="K17" s="36"/>
      <c r="L17" s="36"/>
      <c r="M17" s="36"/>
      <c r="N17" s="36"/>
      <c r="Q17" s="33" t="s">
        <v>2371</v>
      </c>
    </row>
    <row r="18" spans="1:17" ht="9" customHeight="1" x14ac:dyDescent="0.2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</row>
    <row r="19" spans="1:17" ht="15" x14ac:dyDescent="0.25">
      <c r="A19" s="36"/>
      <c r="B19" s="36" t="s">
        <v>2381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</row>
    <row r="20" spans="1:17" ht="15" thickBot="1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</row>
    <row r="21" spans="1:17" ht="36" thickBot="1" x14ac:dyDescent="0.5">
      <c r="A21" s="36"/>
      <c r="B21" s="39" t="s">
        <v>2374</v>
      </c>
      <c r="C21" s="38"/>
      <c r="D21" s="39" t="s">
        <v>2368</v>
      </c>
      <c r="E21" s="38"/>
      <c r="F21" s="39" t="s">
        <v>2320</v>
      </c>
      <c r="G21" s="38"/>
      <c r="H21" s="34" t="s">
        <v>2375</v>
      </c>
      <c r="I21" s="38"/>
      <c r="J21" s="39" t="s">
        <v>2367</v>
      </c>
      <c r="K21" s="36"/>
      <c r="L21" s="36"/>
      <c r="M21" s="36"/>
      <c r="N21" s="36"/>
      <c r="Q21" s="34" t="s">
        <v>2375</v>
      </c>
    </row>
    <row r="22" spans="1:17" ht="9" customHeight="1" x14ac:dyDescent="0.2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</row>
    <row r="23" spans="1:17" ht="15" x14ac:dyDescent="0.25">
      <c r="A23" s="36"/>
      <c r="B23" s="36" t="s">
        <v>2382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</row>
    <row r="24" spans="1:17" x14ac:dyDescent="0.2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</row>
    <row r="25" spans="1:17" ht="9" customHeight="1" x14ac:dyDescent="0.2">
      <c r="A25" s="36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36"/>
    </row>
    <row r="26" spans="1:17" ht="9" customHeight="1" x14ac:dyDescent="0.2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</row>
    <row r="27" spans="1:17" x14ac:dyDescent="0.2">
      <c r="A27" s="36"/>
      <c r="B27" s="36" t="s">
        <v>2376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</row>
    <row r="28" spans="1:17" ht="15.95" customHeight="1" x14ac:dyDescent="0.2">
      <c r="A28" s="36"/>
      <c r="B28" s="36" t="s">
        <v>2377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</row>
    <row r="29" spans="1:17" ht="15.95" customHeight="1" x14ac:dyDescent="0.2">
      <c r="A29" s="36"/>
      <c r="B29" s="36" t="s">
        <v>2378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</row>
    <row r="30" spans="1:17" x14ac:dyDescent="0.2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</row>
    <row r="31" spans="1:17" x14ac:dyDescent="0.2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</row>
    <row r="32" spans="1:17" x14ac:dyDescent="0.2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x14ac:dyDescent="0.2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</row>
    <row r="34" spans="1:14" x14ac:dyDescent="0.2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</row>
  </sheetData>
  <sheetProtection sheet="1" objects="1" scenarios="1"/>
  <mergeCells count="1">
    <mergeCell ref="B2:M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BJ820"/>
  <sheetViews>
    <sheetView showGridLines="0" showRowColHeaders="0" zoomScaleNormal="100" zoomScalePageLayoutView="53" workbookViewId="0">
      <selection activeCell="D23" sqref="D23:D25"/>
    </sheetView>
  </sheetViews>
  <sheetFormatPr defaultColWidth="0" defaultRowHeight="12.75" zeroHeight="1" x14ac:dyDescent="0.2"/>
  <cols>
    <col min="1" max="1" width="1.5703125" style="41" customWidth="1"/>
    <col min="2" max="2" width="5.140625" style="41" customWidth="1"/>
    <col min="3" max="3" width="18.140625" style="41" customWidth="1"/>
    <col min="4" max="4" width="11.140625" style="41" customWidth="1"/>
    <col min="5" max="5" width="41.85546875" style="41" customWidth="1"/>
    <col min="6" max="6" width="17.5703125" style="42" customWidth="1"/>
    <col min="7" max="7" width="20.28515625" style="42" customWidth="1"/>
    <col min="8" max="8" width="21.7109375" style="42" customWidth="1"/>
    <col min="9" max="9" width="20.28515625" style="42" customWidth="1"/>
    <col min="10" max="10" width="1.7109375" style="41" customWidth="1"/>
    <col min="11" max="11" width="6.7109375" style="41" hidden="1" customWidth="1"/>
    <col min="12" max="12" width="9.140625" style="41" hidden="1" customWidth="1"/>
    <col min="13" max="13" width="4.140625" style="41" hidden="1" customWidth="1"/>
    <col min="14" max="14" width="18.7109375" style="41" hidden="1" customWidth="1"/>
    <col min="15" max="15" width="21.85546875" style="41" hidden="1" customWidth="1"/>
    <col min="16" max="16" width="16.28515625" style="41" hidden="1" customWidth="1"/>
    <col min="17" max="17" width="28.140625" style="41" hidden="1" customWidth="1"/>
    <col min="18" max="18" width="16.85546875" style="41" hidden="1" customWidth="1"/>
    <col min="19" max="19" width="12.7109375" style="41" hidden="1" customWidth="1"/>
    <col min="20" max="20" width="15.28515625" style="41" hidden="1" customWidth="1"/>
    <col min="21" max="21" width="16.7109375" style="41" hidden="1" customWidth="1"/>
    <col min="22" max="22" width="16.5703125" style="41" hidden="1" customWidth="1"/>
    <col min="23" max="23" width="21.5703125" style="41" hidden="1" customWidth="1"/>
    <col min="24" max="24" width="12.42578125" style="41" hidden="1" customWidth="1"/>
    <col min="25" max="25" width="14.42578125" style="41" hidden="1" customWidth="1"/>
    <col min="26" max="26" width="16" style="41" hidden="1" customWidth="1"/>
    <col min="27" max="27" width="28.42578125" style="41" hidden="1" customWidth="1"/>
    <col min="28" max="28" width="3.85546875" style="41" hidden="1" customWidth="1"/>
    <col min="29" max="29" width="5.140625" style="41" hidden="1" customWidth="1"/>
    <col min="30" max="31" width="9" style="41" hidden="1" customWidth="1"/>
    <col min="32" max="32" width="7.140625" style="41" hidden="1" customWidth="1"/>
    <col min="33" max="33" width="8.140625" style="41" hidden="1" customWidth="1"/>
    <col min="34" max="34" width="7.28515625" style="41" hidden="1" customWidth="1"/>
    <col min="35" max="35" width="7.42578125" style="41" hidden="1" customWidth="1"/>
    <col min="36" max="36" width="12.28515625" style="41" hidden="1" customWidth="1"/>
    <col min="37" max="37" width="7.42578125" style="41" hidden="1" customWidth="1"/>
    <col min="38" max="39" width="6" style="41" hidden="1" customWidth="1"/>
    <col min="40" max="40" width="15.28515625" style="41" hidden="1" customWidth="1"/>
    <col min="41" max="41" width="5.7109375" style="41" hidden="1" customWidth="1"/>
    <col min="42" max="42" width="11.28515625" style="41" hidden="1" customWidth="1"/>
    <col min="43" max="43" width="5.42578125" style="41" hidden="1" customWidth="1"/>
    <col min="44" max="44" width="7.7109375" style="41" hidden="1" customWidth="1"/>
    <col min="45" max="45" width="9" style="41" hidden="1" customWidth="1"/>
    <col min="46" max="46" width="17.42578125" style="41" hidden="1" customWidth="1"/>
    <col min="47" max="47" width="5" style="41" hidden="1" customWidth="1"/>
    <col min="48" max="48" width="10" style="41" hidden="1" customWidth="1"/>
    <col min="49" max="49" width="7.28515625" style="41" hidden="1" customWidth="1"/>
    <col min="50" max="50" width="16" style="41" hidden="1" customWidth="1"/>
    <col min="51" max="51" width="5.7109375" style="41" hidden="1" customWidth="1"/>
    <col min="52" max="52" width="11.7109375" style="41" hidden="1" customWidth="1"/>
    <col min="53" max="53" width="11" style="41" hidden="1" customWidth="1"/>
    <col min="54" max="55" width="8.42578125" style="41" hidden="1" customWidth="1"/>
    <col min="56" max="56" width="6.5703125" style="41" hidden="1" customWidth="1"/>
    <col min="57" max="57" width="11" style="41" hidden="1" customWidth="1"/>
    <col min="58" max="58" width="13.140625" style="41" hidden="1" customWidth="1"/>
    <col min="59" max="62" width="12" style="41" hidden="1" customWidth="1"/>
    <col min="63" max="16384" width="9.140625" style="41" hidden="1"/>
  </cols>
  <sheetData>
    <row r="1" spans="1:11" ht="9" customHeight="1" x14ac:dyDescent="0.2"/>
    <row r="2" spans="1:11" s="43" customFormat="1" ht="30.75" customHeight="1" x14ac:dyDescent="0.2">
      <c r="B2" s="44" t="s">
        <v>2384</v>
      </c>
      <c r="C2" s="45"/>
      <c r="D2" s="45"/>
      <c r="E2" s="45"/>
      <c r="F2" s="90"/>
      <c r="G2" s="90"/>
      <c r="H2" s="90"/>
      <c r="I2" s="46"/>
      <c r="J2" s="47"/>
      <c r="K2" s="47"/>
    </row>
    <row r="3" spans="1:11" s="43" customFormat="1" ht="9" customHeight="1" x14ac:dyDescent="0.25">
      <c r="B3" s="48"/>
      <c r="C3" s="48"/>
      <c r="D3" s="48"/>
      <c r="E3" s="48"/>
      <c r="F3" s="48"/>
      <c r="G3" s="48"/>
      <c r="H3" s="48"/>
      <c r="I3" s="48"/>
      <c r="J3" s="49"/>
      <c r="K3" s="49"/>
    </row>
    <row r="4" spans="1:11" s="50" customFormat="1" ht="18.75" x14ac:dyDescent="0.3">
      <c r="B4" s="51"/>
      <c r="C4" s="59" t="s">
        <v>2385</v>
      </c>
      <c r="D4" s="51"/>
      <c r="E4" s="51"/>
      <c r="F4" s="51"/>
      <c r="G4" s="51"/>
      <c r="H4" s="51"/>
      <c r="I4" s="51"/>
    </row>
    <row r="5" spans="1:11" s="50" customFormat="1" ht="18.75" x14ac:dyDescent="0.3">
      <c r="B5" s="51"/>
      <c r="C5" s="51" t="s">
        <v>2409</v>
      </c>
      <c r="D5" s="51"/>
      <c r="E5" s="51"/>
      <c r="F5" s="51"/>
      <c r="G5" s="51"/>
      <c r="H5" s="51"/>
      <c r="I5" s="51"/>
    </row>
    <row r="6" spans="1:11" s="50" customFormat="1" ht="18.75" x14ac:dyDescent="0.3">
      <c r="B6" s="51"/>
      <c r="C6" s="51" t="s">
        <v>2410</v>
      </c>
      <c r="D6" s="51"/>
      <c r="E6" s="51"/>
      <c r="F6" s="51"/>
      <c r="G6" s="51"/>
      <c r="H6" s="51"/>
      <c r="I6" s="51"/>
    </row>
    <row r="7" spans="1:11" s="50" customFormat="1" ht="18.75" x14ac:dyDescent="0.3">
      <c r="B7" s="51"/>
      <c r="C7" s="51" t="s">
        <v>2411</v>
      </c>
      <c r="D7" s="51"/>
      <c r="E7" s="51"/>
      <c r="F7" s="51"/>
      <c r="G7" s="51"/>
      <c r="H7" s="51"/>
      <c r="I7" s="51"/>
    </row>
    <row r="8" spans="1:11" s="50" customFormat="1" ht="18.75" x14ac:dyDescent="0.3">
      <c r="A8" s="52"/>
      <c r="B8" s="51"/>
      <c r="C8" s="51"/>
      <c r="D8" s="51"/>
      <c r="E8" s="51"/>
      <c r="F8" s="51"/>
      <c r="G8" s="51"/>
      <c r="H8" s="51"/>
      <c r="I8" s="51"/>
    </row>
    <row r="9" spans="1:11" s="50" customFormat="1" ht="18.75" x14ac:dyDescent="0.3">
      <c r="A9" s="52"/>
      <c r="B9" s="51"/>
      <c r="C9" s="59" t="s">
        <v>2388</v>
      </c>
      <c r="D9" s="51"/>
      <c r="E9" s="51"/>
      <c r="F9" s="51"/>
      <c r="G9" s="51"/>
      <c r="H9" s="51"/>
      <c r="I9" s="51"/>
    </row>
    <row r="10" spans="1:11" s="50" customFormat="1" ht="18.75" x14ac:dyDescent="0.3">
      <c r="A10" s="52"/>
      <c r="B10" s="51"/>
      <c r="C10" s="58" t="s">
        <v>2386</v>
      </c>
      <c r="D10" s="51"/>
      <c r="E10" s="51"/>
      <c r="F10" s="51"/>
      <c r="G10" s="51"/>
      <c r="H10" s="51"/>
      <c r="I10" s="51"/>
    </row>
    <row r="11" spans="1:11" s="50" customFormat="1" ht="18.75" x14ac:dyDescent="0.3">
      <c r="A11" s="52"/>
      <c r="B11" s="51"/>
      <c r="C11" s="58" t="s">
        <v>2408</v>
      </c>
      <c r="D11" s="51"/>
      <c r="E11" s="51"/>
      <c r="F11" s="51"/>
      <c r="G11" s="51"/>
      <c r="H11" s="51"/>
      <c r="I11" s="51"/>
    </row>
    <row r="12" spans="1:11" s="50" customFormat="1" ht="18.75" x14ac:dyDescent="0.3">
      <c r="A12" s="52"/>
      <c r="B12" s="51"/>
      <c r="C12" s="51"/>
      <c r="D12" s="51"/>
      <c r="E12" s="51"/>
      <c r="F12" s="51"/>
      <c r="G12" s="51"/>
      <c r="H12" s="51"/>
      <c r="I12" s="51"/>
    </row>
    <row r="13" spans="1:11" s="50" customFormat="1" ht="18.75" x14ac:dyDescent="0.3">
      <c r="A13" s="52"/>
      <c r="B13" s="51"/>
      <c r="C13" s="60" t="s">
        <v>2389</v>
      </c>
      <c r="D13" s="51"/>
      <c r="E13" s="51"/>
      <c r="F13" s="51"/>
      <c r="G13" s="51"/>
      <c r="H13" s="51"/>
      <c r="I13" s="51"/>
    </row>
    <row r="14" spans="1:11" s="50" customFormat="1" ht="18.75" x14ac:dyDescent="0.3">
      <c r="A14" s="52"/>
      <c r="B14" s="51"/>
      <c r="C14" s="58" t="s">
        <v>2387</v>
      </c>
      <c r="D14" s="51"/>
      <c r="E14" s="51"/>
      <c r="F14" s="51"/>
      <c r="G14" s="51"/>
      <c r="H14" s="51"/>
      <c r="I14" s="51"/>
    </row>
    <row r="15" spans="1:11" s="50" customFormat="1" ht="18.75" x14ac:dyDescent="0.3">
      <c r="A15" s="52"/>
      <c r="B15" s="51"/>
      <c r="C15" s="51"/>
      <c r="D15" s="51"/>
      <c r="E15" s="51"/>
      <c r="F15" s="51"/>
      <c r="G15" s="51"/>
      <c r="H15" s="51"/>
      <c r="I15" s="51"/>
    </row>
    <row r="16" spans="1:11" s="50" customFormat="1" ht="18.75" x14ac:dyDescent="0.3">
      <c r="A16" s="52"/>
      <c r="B16" s="51"/>
      <c r="C16" s="61" t="s">
        <v>2390</v>
      </c>
      <c r="D16" s="51"/>
      <c r="E16" s="51"/>
      <c r="F16" s="51"/>
      <c r="G16" s="51"/>
      <c r="H16" s="51"/>
      <c r="I16" s="51"/>
    </row>
    <row r="17" spans="1:16" s="50" customFormat="1" ht="18.75" x14ac:dyDescent="0.3">
      <c r="A17" s="52"/>
      <c r="B17" s="51"/>
      <c r="C17" s="58" t="s">
        <v>2412</v>
      </c>
      <c r="D17" s="51"/>
      <c r="E17" s="51"/>
      <c r="F17" s="51"/>
      <c r="G17" s="51"/>
      <c r="H17" s="51"/>
      <c r="I17" s="51"/>
    </row>
    <row r="18" spans="1:16" s="50" customFormat="1" ht="18.75" x14ac:dyDescent="0.3">
      <c r="A18" s="52"/>
      <c r="B18" s="51"/>
      <c r="C18" s="58" t="s">
        <v>2391</v>
      </c>
      <c r="D18" s="51"/>
      <c r="E18" s="51"/>
      <c r="F18" s="51"/>
      <c r="G18" s="51"/>
      <c r="H18" s="51"/>
      <c r="I18" s="51"/>
    </row>
    <row r="19" spans="1:16" s="50" customFormat="1" ht="18.75" x14ac:dyDescent="0.3">
      <c r="A19" s="52"/>
      <c r="B19" s="51"/>
      <c r="C19" s="58" t="s">
        <v>2413</v>
      </c>
      <c r="D19" s="51"/>
      <c r="E19" s="51"/>
      <c r="F19" s="51"/>
      <c r="G19" s="51"/>
      <c r="H19" s="51"/>
      <c r="I19" s="51"/>
    </row>
    <row r="20" spans="1:16" s="50" customFormat="1" ht="18.75" x14ac:dyDescent="0.3">
      <c r="A20" s="52"/>
      <c r="B20" s="51"/>
      <c r="C20" s="58" t="s">
        <v>2398</v>
      </c>
      <c r="D20" s="51"/>
      <c r="E20" s="51"/>
      <c r="F20" s="51"/>
      <c r="G20" s="51"/>
      <c r="H20" s="51"/>
      <c r="I20" s="51"/>
    </row>
    <row r="21" spans="1:16" s="50" customFormat="1" ht="22.5" customHeight="1" x14ac:dyDescent="0.3">
      <c r="A21" s="52"/>
      <c r="B21" s="51"/>
      <c r="C21" s="53"/>
      <c r="D21" s="51"/>
      <c r="E21" s="51"/>
      <c r="F21" s="51"/>
      <c r="G21" s="51"/>
      <c r="H21" s="51"/>
      <c r="I21" s="51"/>
    </row>
    <row r="22" spans="1:16" s="50" customFormat="1" ht="18.75" x14ac:dyDescent="0.3">
      <c r="A22" s="52"/>
      <c r="B22" s="51"/>
      <c r="C22" s="65" t="s">
        <v>2392</v>
      </c>
      <c r="D22" s="51"/>
      <c r="E22" s="51"/>
      <c r="F22" s="51"/>
      <c r="G22" s="51"/>
      <c r="H22" s="51"/>
      <c r="I22" s="51"/>
    </row>
    <row r="23" spans="1:16" s="50" customFormat="1" ht="18.75" x14ac:dyDescent="0.3">
      <c r="A23" s="52"/>
      <c r="B23" s="51"/>
      <c r="C23" s="62" t="s">
        <v>2395</v>
      </c>
      <c r="D23" s="64">
        <v>0.33333299999999999</v>
      </c>
      <c r="E23" s="51"/>
      <c r="F23" s="51"/>
      <c r="G23" s="51"/>
      <c r="H23" s="51"/>
      <c r="I23" s="51"/>
    </row>
    <row r="24" spans="1:16" s="50" customFormat="1" ht="18.75" x14ac:dyDescent="0.3">
      <c r="A24" s="52"/>
      <c r="B24" s="51"/>
      <c r="C24" s="62" t="s">
        <v>2396</v>
      </c>
      <c r="D24" s="64">
        <v>0.33333299999999999</v>
      </c>
      <c r="E24" s="51"/>
      <c r="F24" s="51"/>
      <c r="G24" s="51"/>
      <c r="H24" s="51"/>
      <c r="I24" s="51"/>
    </row>
    <row r="25" spans="1:16" s="50" customFormat="1" ht="18.75" x14ac:dyDescent="0.3">
      <c r="A25" s="52"/>
      <c r="B25" s="51"/>
      <c r="C25" s="62" t="s">
        <v>2397</v>
      </c>
      <c r="D25" s="63">
        <f>1-SUM(D23:D24)</f>
        <v>0.33333400000000002</v>
      </c>
      <c r="E25" s="51"/>
      <c r="F25" s="51"/>
      <c r="G25" s="51"/>
      <c r="H25" s="51"/>
      <c r="I25" s="51"/>
    </row>
    <row r="26" spans="1:16" s="50" customFormat="1" ht="12" customHeight="1" x14ac:dyDescent="0.3">
      <c r="A26" s="52"/>
      <c r="B26" s="51"/>
      <c r="C26" s="51"/>
      <c r="D26" s="51"/>
      <c r="E26" s="51"/>
      <c r="F26" s="51"/>
      <c r="G26" s="51"/>
      <c r="H26" s="51"/>
      <c r="I26" s="51"/>
    </row>
    <row r="27" spans="1:16" s="50" customFormat="1" ht="9" customHeight="1" x14ac:dyDescent="0.3">
      <c r="A27" s="52"/>
      <c r="B27" s="48"/>
      <c r="C27" s="48"/>
      <c r="D27" s="48"/>
      <c r="E27" s="48"/>
      <c r="F27" s="48"/>
      <c r="G27" s="48"/>
      <c r="H27" s="48"/>
      <c r="I27" s="48"/>
    </row>
    <row r="28" spans="1:16" s="43" customFormat="1" x14ac:dyDescent="0.2">
      <c r="A28" s="54"/>
      <c r="B28" s="91" t="s">
        <v>2394</v>
      </c>
      <c r="C28" s="91"/>
      <c r="D28" s="91"/>
      <c r="E28" s="91"/>
      <c r="F28" s="55"/>
      <c r="G28" s="55"/>
      <c r="H28" s="55"/>
      <c r="I28" s="55"/>
      <c r="J28" s="54"/>
      <c r="K28" s="54"/>
      <c r="P28" s="56"/>
    </row>
    <row r="29" spans="1:16" s="43" customFormat="1" x14ac:dyDescent="0.2">
      <c r="A29" s="54"/>
      <c r="B29" s="91"/>
      <c r="C29" s="91"/>
      <c r="D29" s="91"/>
      <c r="E29" s="91"/>
      <c r="F29" s="55"/>
      <c r="G29" s="55"/>
      <c r="H29" s="55"/>
      <c r="I29" s="55"/>
      <c r="J29" s="54"/>
      <c r="K29" s="54"/>
      <c r="P29" s="56"/>
    </row>
    <row r="30" spans="1:16" s="43" customFormat="1" x14ac:dyDescent="0.2">
      <c r="A30" s="54"/>
      <c r="B30" s="91"/>
      <c r="C30" s="91"/>
      <c r="D30" s="91"/>
      <c r="E30" s="91"/>
      <c r="F30" s="55"/>
      <c r="G30" s="55"/>
      <c r="H30" s="55"/>
      <c r="I30" s="55"/>
      <c r="J30" s="54"/>
      <c r="K30" s="54"/>
      <c r="P30" s="56"/>
    </row>
    <row r="31" spans="1:16" s="43" customFormat="1" ht="8.25" customHeight="1" x14ac:dyDescent="0.2">
      <c r="A31" s="54"/>
      <c r="B31" s="54"/>
      <c r="C31" s="54"/>
      <c r="D31" s="54"/>
      <c r="E31" s="54"/>
      <c r="F31" s="57"/>
      <c r="G31" s="57"/>
      <c r="H31" s="57"/>
      <c r="I31" s="57"/>
      <c r="J31" s="54"/>
      <c r="K31" s="54"/>
    </row>
    <row r="32" spans="1:16" s="43" customFormat="1" hidden="1" x14ac:dyDescent="0.2">
      <c r="A32" s="54"/>
      <c r="B32" s="54"/>
      <c r="C32" s="54"/>
      <c r="D32" s="54"/>
      <c r="E32" s="54"/>
      <c r="F32" s="57"/>
      <c r="G32" s="57"/>
      <c r="H32" s="57"/>
      <c r="I32" s="57"/>
      <c r="J32" s="54"/>
      <c r="K32" s="54"/>
    </row>
    <row r="33" spans="1:11" s="43" customFormat="1" hidden="1" x14ac:dyDescent="0.2">
      <c r="A33" s="54"/>
      <c r="B33" s="54"/>
      <c r="C33" s="54"/>
      <c r="D33" s="54"/>
      <c r="E33" s="54"/>
      <c r="F33" s="57"/>
      <c r="G33" s="57"/>
      <c r="H33" s="57"/>
      <c r="I33" s="57"/>
      <c r="J33" s="54"/>
      <c r="K33" s="54"/>
    </row>
    <row r="34" spans="1:11" s="43" customFormat="1" hidden="1" x14ac:dyDescent="0.2">
      <c r="A34" s="54"/>
      <c r="B34" s="54"/>
      <c r="C34" s="54"/>
      <c r="D34" s="54"/>
      <c r="E34" s="54"/>
      <c r="F34" s="57"/>
      <c r="G34" s="57"/>
      <c r="H34" s="57"/>
      <c r="I34" s="57"/>
      <c r="J34" s="54"/>
      <c r="K34" s="54"/>
    </row>
    <row r="35" spans="1:11" s="43" customFormat="1" hidden="1" x14ac:dyDescent="0.2">
      <c r="A35" s="54"/>
      <c r="B35" s="54"/>
      <c r="C35" s="54"/>
      <c r="D35" s="54"/>
      <c r="E35" s="54"/>
      <c r="F35" s="57"/>
      <c r="G35" s="57"/>
      <c r="H35" s="57"/>
      <c r="I35" s="57"/>
      <c r="J35" s="54"/>
      <c r="K35" s="54"/>
    </row>
    <row r="36" spans="1:11" s="43" customFormat="1" hidden="1" x14ac:dyDescent="0.2">
      <c r="A36" s="54"/>
      <c r="B36" s="54"/>
      <c r="C36" s="54"/>
      <c r="D36" s="54"/>
      <c r="E36" s="54"/>
      <c r="F36" s="57"/>
      <c r="G36" s="57"/>
      <c r="H36" s="57"/>
      <c r="I36" s="57"/>
      <c r="J36" s="54"/>
      <c r="K36" s="54"/>
    </row>
    <row r="37" spans="1:11" s="43" customFormat="1" hidden="1" x14ac:dyDescent="0.2">
      <c r="A37" s="54"/>
      <c r="B37" s="54"/>
      <c r="C37" s="54"/>
      <c r="D37" s="54"/>
      <c r="E37" s="54"/>
      <c r="F37" s="57"/>
      <c r="G37" s="57"/>
      <c r="H37" s="57"/>
      <c r="I37" s="57"/>
      <c r="J37" s="54"/>
      <c r="K37" s="54"/>
    </row>
    <row r="38" spans="1:11" s="43" customFormat="1" hidden="1" x14ac:dyDescent="0.2">
      <c r="A38" s="54"/>
      <c r="B38" s="54"/>
      <c r="C38" s="54"/>
      <c r="D38" s="54"/>
      <c r="E38" s="54"/>
      <c r="F38" s="57"/>
      <c r="G38" s="57"/>
      <c r="H38" s="57"/>
      <c r="I38" s="57"/>
      <c r="J38" s="54"/>
      <c r="K38" s="54"/>
    </row>
    <row r="39" spans="1:11" s="43" customFormat="1" hidden="1" x14ac:dyDescent="0.2">
      <c r="A39" s="54"/>
      <c r="B39" s="54"/>
      <c r="C39" s="54"/>
      <c r="D39" s="54"/>
      <c r="E39" s="54"/>
      <c r="F39" s="57"/>
      <c r="G39" s="57"/>
      <c r="H39" s="57"/>
      <c r="I39" s="57"/>
      <c r="J39" s="54"/>
      <c r="K39" s="54"/>
    </row>
    <row r="40" spans="1:11" s="43" customFormat="1" hidden="1" x14ac:dyDescent="0.2">
      <c r="A40" s="54"/>
      <c r="B40" s="54"/>
      <c r="C40" s="54"/>
      <c r="D40" s="54"/>
      <c r="E40" s="54"/>
      <c r="F40" s="57"/>
      <c r="G40" s="57"/>
      <c r="H40" s="57"/>
      <c r="I40" s="57"/>
      <c r="J40" s="54"/>
      <c r="K40" s="54"/>
    </row>
    <row r="41" spans="1:11" s="43" customFormat="1" hidden="1" x14ac:dyDescent="0.2">
      <c r="A41" s="54"/>
      <c r="B41" s="54"/>
      <c r="C41" s="54"/>
      <c r="D41" s="54"/>
      <c r="E41" s="54"/>
      <c r="F41" s="57"/>
      <c r="G41" s="57"/>
      <c r="H41" s="57"/>
      <c r="I41" s="57"/>
      <c r="J41" s="54"/>
      <c r="K41" s="54"/>
    </row>
    <row r="42" spans="1:11" s="43" customFormat="1" hidden="1" x14ac:dyDescent="0.2">
      <c r="A42" s="54"/>
      <c r="B42" s="54"/>
      <c r="C42" s="54"/>
      <c r="D42" s="54"/>
      <c r="E42" s="54"/>
      <c r="F42" s="57"/>
      <c r="G42" s="57"/>
      <c r="H42" s="57"/>
      <c r="I42" s="57"/>
      <c r="J42" s="54"/>
      <c r="K42" s="54"/>
    </row>
    <row r="43" spans="1:11" s="43" customFormat="1" hidden="1" x14ac:dyDescent="0.2">
      <c r="A43" s="54"/>
      <c r="B43" s="54"/>
      <c r="C43" s="54"/>
      <c r="D43" s="54"/>
      <c r="E43" s="54"/>
      <c r="F43" s="57"/>
      <c r="G43" s="57"/>
      <c r="H43" s="57"/>
      <c r="I43" s="57"/>
      <c r="J43" s="54"/>
      <c r="K43" s="54"/>
    </row>
    <row r="44" spans="1:11" s="43" customFormat="1" hidden="1" x14ac:dyDescent="0.2">
      <c r="A44" s="54"/>
      <c r="B44" s="54"/>
      <c r="C44" s="54"/>
      <c r="D44" s="54"/>
      <c r="E44" s="54"/>
      <c r="F44" s="57"/>
      <c r="G44" s="57"/>
      <c r="H44" s="57"/>
      <c r="I44" s="57"/>
      <c r="J44" s="54"/>
      <c r="K44" s="54"/>
    </row>
    <row r="45" spans="1:11" s="43" customFormat="1" hidden="1" x14ac:dyDescent="0.2">
      <c r="A45" s="54"/>
      <c r="B45" s="54"/>
      <c r="C45" s="54"/>
      <c r="D45" s="54"/>
      <c r="E45" s="54"/>
      <c r="F45" s="57"/>
      <c r="G45" s="57"/>
      <c r="H45" s="57"/>
      <c r="I45" s="57"/>
      <c r="J45" s="54"/>
      <c r="K45" s="54"/>
    </row>
    <row r="46" spans="1:11" s="43" customFormat="1" hidden="1" x14ac:dyDescent="0.2">
      <c r="A46" s="54"/>
      <c r="B46" s="54"/>
      <c r="C46" s="54"/>
      <c r="D46" s="54"/>
      <c r="E46" s="54"/>
      <c r="F46" s="57"/>
      <c r="G46" s="57"/>
      <c r="H46" s="57"/>
      <c r="I46" s="57"/>
      <c r="J46" s="54"/>
      <c r="K46" s="54"/>
    </row>
    <row r="47" spans="1:11" s="43" customFormat="1" hidden="1" x14ac:dyDescent="0.2">
      <c r="A47" s="54"/>
      <c r="B47" s="54"/>
      <c r="C47" s="54"/>
      <c r="D47" s="54"/>
      <c r="E47" s="54"/>
      <c r="F47" s="57"/>
      <c r="G47" s="57"/>
      <c r="H47" s="57"/>
      <c r="I47" s="57"/>
      <c r="J47" s="54"/>
      <c r="K47" s="54"/>
    </row>
    <row r="48" spans="1:11" s="43" customFormat="1" hidden="1" x14ac:dyDescent="0.2">
      <c r="A48" s="54"/>
      <c r="B48" s="54"/>
      <c r="C48" s="54"/>
      <c r="D48" s="54"/>
      <c r="E48" s="54"/>
      <c r="F48" s="57"/>
      <c r="G48" s="57"/>
      <c r="H48" s="57"/>
      <c r="I48" s="57"/>
      <c r="J48" s="54"/>
      <c r="K48" s="54"/>
    </row>
    <row r="49" spans="1:11" s="43" customFormat="1" hidden="1" x14ac:dyDescent="0.2">
      <c r="A49" s="54"/>
      <c r="B49" s="54"/>
      <c r="C49" s="54"/>
      <c r="D49" s="54"/>
      <c r="E49" s="54"/>
      <c r="F49" s="57"/>
      <c r="G49" s="57"/>
      <c r="H49" s="57"/>
      <c r="I49" s="57"/>
      <c r="J49" s="54"/>
      <c r="K49" s="54"/>
    </row>
    <row r="50" spans="1:11" s="43" customFormat="1" hidden="1" x14ac:dyDescent="0.2">
      <c r="A50" s="54"/>
      <c r="B50" s="54"/>
      <c r="C50" s="54"/>
      <c r="D50" s="54"/>
      <c r="E50" s="54"/>
      <c r="F50" s="57"/>
      <c r="G50" s="57"/>
      <c r="H50" s="57"/>
      <c r="I50" s="57"/>
      <c r="J50" s="54"/>
      <c r="K50" s="54"/>
    </row>
    <row r="51" spans="1:11" s="43" customFormat="1" hidden="1" x14ac:dyDescent="0.2">
      <c r="A51" s="54"/>
      <c r="B51" s="54"/>
      <c r="C51" s="54"/>
      <c r="D51" s="54"/>
      <c r="E51" s="54"/>
      <c r="F51" s="57"/>
      <c r="G51" s="57"/>
      <c r="H51" s="57"/>
      <c r="I51" s="57"/>
      <c r="J51" s="54"/>
      <c r="K51" s="54"/>
    </row>
    <row r="52" spans="1:11" s="43" customFormat="1" hidden="1" x14ac:dyDescent="0.2">
      <c r="A52" s="54"/>
      <c r="B52" s="54"/>
      <c r="C52" s="54"/>
      <c r="D52" s="54"/>
      <c r="E52" s="54"/>
      <c r="F52" s="57"/>
      <c r="G52" s="57"/>
      <c r="H52" s="57"/>
      <c r="I52" s="57"/>
      <c r="J52" s="54"/>
      <c r="K52" s="54"/>
    </row>
    <row r="53" spans="1:11" s="43" customFormat="1" hidden="1" x14ac:dyDescent="0.2">
      <c r="A53" s="54"/>
      <c r="B53" s="54"/>
      <c r="C53" s="54"/>
      <c r="D53" s="54"/>
      <c r="E53" s="54"/>
      <c r="F53" s="57"/>
      <c r="G53" s="57"/>
      <c r="H53" s="57"/>
      <c r="I53" s="57"/>
      <c r="J53" s="54"/>
      <c r="K53" s="54"/>
    </row>
    <row r="54" spans="1:11" s="43" customFormat="1" hidden="1" x14ac:dyDescent="0.2">
      <c r="A54" s="54"/>
      <c r="B54" s="54"/>
      <c r="C54" s="54"/>
      <c r="D54" s="54"/>
      <c r="E54" s="54"/>
      <c r="F54" s="57"/>
      <c r="G54" s="57"/>
      <c r="H54" s="57"/>
      <c r="I54" s="57"/>
      <c r="J54" s="54"/>
      <c r="K54" s="54"/>
    </row>
    <row r="55" spans="1:11" s="43" customFormat="1" hidden="1" x14ac:dyDescent="0.2">
      <c r="A55" s="54"/>
      <c r="B55" s="54"/>
      <c r="C55" s="54"/>
      <c r="D55" s="54"/>
      <c r="E55" s="54"/>
      <c r="F55" s="57"/>
      <c r="G55" s="57"/>
      <c r="H55" s="57"/>
      <c r="I55" s="57"/>
      <c r="J55" s="54"/>
      <c r="K55" s="54"/>
    </row>
    <row r="56" spans="1:11" s="43" customFormat="1" hidden="1" x14ac:dyDescent="0.2">
      <c r="A56" s="54"/>
      <c r="B56" s="54"/>
      <c r="C56" s="54"/>
      <c r="D56" s="54"/>
      <c r="E56" s="54"/>
      <c r="F56" s="57"/>
      <c r="G56" s="57"/>
      <c r="H56" s="57"/>
      <c r="I56" s="57"/>
      <c r="J56" s="54"/>
      <c r="K56" s="54"/>
    </row>
    <row r="57" spans="1:11" s="43" customFormat="1" hidden="1" x14ac:dyDescent="0.2">
      <c r="A57" s="54"/>
      <c r="B57" s="54"/>
      <c r="C57" s="54"/>
      <c r="D57" s="54"/>
      <c r="E57" s="54"/>
      <c r="F57" s="57"/>
      <c r="G57" s="57"/>
      <c r="H57" s="57"/>
      <c r="I57" s="57"/>
      <c r="J57" s="54"/>
      <c r="K57" s="54"/>
    </row>
    <row r="58" spans="1:11" s="43" customFormat="1" hidden="1" x14ac:dyDescent="0.2">
      <c r="A58" s="54"/>
      <c r="B58" s="54"/>
      <c r="C58" s="54"/>
      <c r="D58" s="54"/>
      <c r="E58" s="54"/>
      <c r="F58" s="57"/>
      <c r="G58" s="57"/>
      <c r="H58" s="57"/>
      <c r="I58" s="57"/>
      <c r="J58" s="54"/>
      <c r="K58" s="54"/>
    </row>
    <row r="59" spans="1:11" s="43" customFormat="1" hidden="1" x14ac:dyDescent="0.2">
      <c r="A59" s="54"/>
      <c r="B59" s="54"/>
      <c r="C59" s="54"/>
      <c r="D59" s="54"/>
      <c r="E59" s="54"/>
      <c r="F59" s="57"/>
      <c r="G59" s="57"/>
      <c r="H59" s="57"/>
      <c r="I59" s="57"/>
      <c r="J59" s="54"/>
      <c r="K59" s="54"/>
    </row>
    <row r="60" spans="1:11" s="43" customFormat="1" hidden="1" x14ac:dyDescent="0.2">
      <c r="A60" s="54"/>
      <c r="B60" s="54"/>
      <c r="C60" s="54"/>
      <c r="D60" s="54"/>
      <c r="E60" s="54"/>
      <c r="F60" s="57"/>
      <c r="G60" s="57"/>
      <c r="H60" s="57"/>
      <c r="I60" s="57"/>
      <c r="J60" s="54"/>
      <c r="K60" s="54"/>
    </row>
    <row r="61" spans="1:11" s="43" customFormat="1" hidden="1" x14ac:dyDescent="0.2">
      <c r="A61" s="54"/>
      <c r="B61" s="54"/>
      <c r="C61" s="54"/>
      <c r="D61" s="54"/>
      <c r="E61" s="54"/>
      <c r="F61" s="57"/>
      <c r="G61" s="57"/>
      <c r="H61" s="57"/>
      <c r="I61" s="57"/>
      <c r="J61" s="54"/>
      <c r="K61" s="54"/>
    </row>
    <row r="62" spans="1:11" s="43" customFormat="1" hidden="1" x14ac:dyDescent="0.2">
      <c r="A62" s="54"/>
      <c r="B62" s="54"/>
      <c r="C62" s="54"/>
      <c r="D62" s="54"/>
      <c r="E62" s="54"/>
      <c r="F62" s="57"/>
      <c r="G62" s="57"/>
      <c r="H62" s="57"/>
      <c r="I62" s="57"/>
      <c r="J62" s="54"/>
      <c r="K62" s="54"/>
    </row>
    <row r="63" spans="1:11" s="43" customFormat="1" hidden="1" x14ac:dyDescent="0.2">
      <c r="A63" s="54"/>
      <c r="B63" s="54"/>
      <c r="C63" s="54"/>
      <c r="D63" s="54"/>
      <c r="E63" s="54"/>
      <c r="F63" s="57"/>
      <c r="G63" s="57"/>
      <c r="H63" s="57"/>
      <c r="I63" s="57"/>
      <c r="J63" s="54"/>
      <c r="K63" s="54"/>
    </row>
    <row r="64" spans="1:11" s="43" customFormat="1" hidden="1" x14ac:dyDescent="0.2">
      <c r="A64" s="54"/>
      <c r="B64" s="54"/>
      <c r="C64" s="54"/>
      <c r="D64" s="54"/>
      <c r="E64" s="54"/>
      <c r="F64" s="57"/>
      <c r="G64" s="57"/>
      <c r="H64" s="57"/>
      <c r="I64" s="57"/>
      <c r="J64" s="54"/>
      <c r="K64" s="54"/>
    </row>
    <row r="65" spans="1:11" s="43" customFormat="1" hidden="1" x14ac:dyDescent="0.2">
      <c r="A65" s="54"/>
      <c r="B65" s="54"/>
      <c r="C65" s="54"/>
      <c r="D65" s="54"/>
      <c r="E65" s="54"/>
      <c r="F65" s="57"/>
      <c r="G65" s="57"/>
      <c r="H65" s="57"/>
      <c r="I65" s="57"/>
      <c r="J65" s="54"/>
      <c r="K65" s="54"/>
    </row>
    <row r="66" spans="1:11" s="43" customFormat="1" hidden="1" x14ac:dyDescent="0.2">
      <c r="A66" s="54"/>
      <c r="B66" s="54"/>
      <c r="C66" s="54"/>
      <c r="D66" s="54"/>
      <c r="E66" s="54"/>
      <c r="F66" s="57"/>
      <c r="G66" s="57"/>
      <c r="H66" s="57"/>
      <c r="I66" s="57"/>
      <c r="J66" s="54"/>
      <c r="K66" s="54"/>
    </row>
    <row r="67" spans="1:11" s="43" customFormat="1" hidden="1" x14ac:dyDescent="0.2">
      <c r="A67" s="54"/>
      <c r="B67" s="54"/>
      <c r="C67" s="54"/>
      <c r="D67" s="54"/>
      <c r="E67" s="54"/>
      <c r="F67" s="57"/>
      <c r="G67" s="57"/>
      <c r="H67" s="57"/>
      <c r="I67" s="57"/>
      <c r="J67" s="54"/>
      <c r="K67" s="54"/>
    </row>
    <row r="68" spans="1:11" s="43" customFormat="1" hidden="1" x14ac:dyDescent="0.2">
      <c r="A68" s="54"/>
      <c r="B68" s="54"/>
      <c r="C68" s="54"/>
      <c r="D68" s="54"/>
      <c r="E68" s="54"/>
      <c r="F68" s="57"/>
      <c r="G68" s="57"/>
      <c r="H68" s="57"/>
      <c r="I68" s="57"/>
      <c r="J68" s="54"/>
      <c r="K68" s="54"/>
    </row>
    <row r="69" spans="1:11" s="43" customFormat="1" hidden="1" x14ac:dyDescent="0.2">
      <c r="A69" s="54"/>
      <c r="B69" s="54"/>
      <c r="C69" s="54"/>
      <c r="D69" s="54"/>
      <c r="E69" s="54"/>
      <c r="F69" s="57"/>
      <c r="G69" s="57"/>
      <c r="H69" s="57"/>
      <c r="I69" s="57"/>
      <c r="J69" s="54"/>
      <c r="K69" s="54"/>
    </row>
    <row r="70" spans="1:11" s="43" customFormat="1" hidden="1" x14ac:dyDescent="0.2">
      <c r="A70" s="54"/>
      <c r="B70" s="54"/>
      <c r="C70" s="54"/>
      <c r="D70" s="54"/>
      <c r="E70" s="54"/>
      <c r="F70" s="57"/>
      <c r="G70" s="57"/>
      <c r="H70" s="57"/>
      <c r="I70" s="57"/>
      <c r="J70" s="54"/>
      <c r="K70" s="54"/>
    </row>
    <row r="71" spans="1:11" s="43" customFormat="1" hidden="1" x14ac:dyDescent="0.2">
      <c r="A71" s="54"/>
      <c r="B71" s="54"/>
      <c r="C71" s="54"/>
      <c r="D71" s="54"/>
      <c r="E71" s="54"/>
      <c r="F71" s="57"/>
      <c r="G71" s="57"/>
      <c r="H71" s="57"/>
      <c r="I71" s="57"/>
      <c r="J71" s="54"/>
      <c r="K71" s="54"/>
    </row>
    <row r="72" spans="1:11" s="43" customFormat="1" hidden="1" x14ac:dyDescent="0.2">
      <c r="A72" s="54"/>
      <c r="B72" s="54"/>
      <c r="C72" s="54"/>
      <c r="D72" s="54"/>
      <c r="E72" s="54"/>
      <c r="F72" s="57"/>
      <c r="G72" s="57"/>
      <c r="H72" s="57"/>
      <c r="I72" s="57"/>
      <c r="J72" s="54"/>
      <c r="K72" s="54"/>
    </row>
    <row r="73" spans="1:11" s="43" customFormat="1" hidden="1" x14ac:dyDescent="0.2">
      <c r="A73" s="54"/>
      <c r="B73" s="54"/>
      <c r="C73" s="54"/>
      <c r="D73" s="54"/>
      <c r="E73" s="54"/>
      <c r="F73" s="57"/>
      <c r="G73" s="57"/>
      <c r="H73" s="57"/>
      <c r="I73" s="57"/>
      <c r="J73" s="54"/>
      <c r="K73" s="54"/>
    </row>
    <row r="74" spans="1:11" s="43" customFormat="1" hidden="1" x14ac:dyDescent="0.2">
      <c r="A74" s="54"/>
      <c r="B74" s="54"/>
      <c r="C74" s="54"/>
      <c r="D74" s="54"/>
      <c r="E74" s="54"/>
      <c r="F74" s="57"/>
      <c r="G74" s="57"/>
      <c r="H74" s="57"/>
      <c r="I74" s="57"/>
      <c r="J74" s="54"/>
      <c r="K74" s="54"/>
    </row>
    <row r="75" spans="1:11" s="43" customFormat="1" hidden="1" x14ac:dyDescent="0.2">
      <c r="A75" s="54"/>
      <c r="B75" s="54"/>
      <c r="C75" s="54"/>
      <c r="D75" s="54"/>
      <c r="E75" s="54"/>
      <c r="F75" s="57"/>
      <c r="G75" s="57"/>
      <c r="H75" s="57"/>
      <c r="I75" s="57"/>
      <c r="J75" s="54"/>
      <c r="K75" s="54"/>
    </row>
    <row r="76" spans="1:11" s="43" customFormat="1" hidden="1" x14ac:dyDescent="0.2">
      <c r="A76" s="54"/>
      <c r="B76" s="54"/>
      <c r="C76" s="54"/>
      <c r="D76" s="54"/>
      <c r="E76" s="54"/>
      <c r="F76" s="57"/>
      <c r="G76" s="57"/>
      <c r="H76" s="57"/>
      <c r="I76" s="57"/>
      <c r="J76" s="54"/>
      <c r="K76" s="54"/>
    </row>
    <row r="77" spans="1:11" s="43" customFormat="1" hidden="1" x14ac:dyDescent="0.2">
      <c r="A77" s="54"/>
      <c r="B77" s="54"/>
      <c r="C77" s="54"/>
      <c r="D77" s="54"/>
      <c r="E77" s="54"/>
      <c r="F77" s="57"/>
      <c r="G77" s="57"/>
      <c r="H77" s="57"/>
      <c r="I77" s="57"/>
      <c r="J77" s="54"/>
      <c r="K77" s="54"/>
    </row>
    <row r="78" spans="1:11" s="43" customFormat="1" hidden="1" x14ac:dyDescent="0.2">
      <c r="A78" s="54"/>
      <c r="B78" s="54"/>
      <c r="C78" s="54"/>
      <c r="D78" s="54"/>
      <c r="E78" s="54"/>
      <c r="F78" s="57"/>
      <c r="G78" s="57"/>
      <c r="H78" s="57"/>
      <c r="I78" s="57"/>
      <c r="J78" s="54"/>
      <c r="K78" s="54"/>
    </row>
    <row r="79" spans="1:11" s="43" customFormat="1" hidden="1" x14ac:dyDescent="0.2">
      <c r="A79" s="54"/>
      <c r="B79" s="54"/>
      <c r="C79" s="54"/>
      <c r="D79" s="54"/>
      <c r="E79" s="54"/>
      <c r="F79" s="57"/>
      <c r="G79" s="57"/>
      <c r="H79" s="57"/>
      <c r="I79" s="57"/>
      <c r="J79" s="54"/>
      <c r="K79" s="54"/>
    </row>
    <row r="80" spans="1:11" s="43" customFormat="1" hidden="1" x14ac:dyDescent="0.2">
      <c r="A80" s="54"/>
      <c r="B80" s="54"/>
      <c r="C80" s="54"/>
      <c r="D80" s="54"/>
      <c r="E80" s="54"/>
      <c r="F80" s="57"/>
      <c r="G80" s="57"/>
      <c r="H80" s="57"/>
      <c r="I80" s="57"/>
      <c r="J80" s="54"/>
      <c r="K80" s="54"/>
    </row>
    <row r="81" spans="1:11" s="43" customFormat="1" hidden="1" x14ac:dyDescent="0.2">
      <c r="A81" s="54"/>
      <c r="B81" s="54"/>
      <c r="C81" s="54"/>
      <c r="D81" s="54"/>
      <c r="E81" s="54"/>
      <c r="F81" s="57"/>
      <c r="G81" s="57"/>
      <c r="H81" s="57"/>
      <c r="I81" s="57"/>
      <c r="J81" s="54"/>
      <c r="K81" s="54"/>
    </row>
    <row r="82" spans="1:11" s="43" customFormat="1" hidden="1" x14ac:dyDescent="0.2">
      <c r="A82" s="54"/>
      <c r="B82" s="54"/>
      <c r="C82" s="54"/>
      <c r="D82" s="54"/>
      <c r="E82" s="54"/>
      <c r="F82" s="57"/>
      <c r="G82" s="57"/>
      <c r="H82" s="57"/>
      <c r="I82" s="57"/>
      <c r="J82" s="54"/>
      <c r="K82" s="54"/>
    </row>
    <row r="83" spans="1:11" s="43" customFormat="1" hidden="1" x14ac:dyDescent="0.2">
      <c r="A83" s="54"/>
      <c r="B83" s="54"/>
      <c r="C83" s="54"/>
      <c r="D83" s="54"/>
      <c r="E83" s="54"/>
      <c r="F83" s="57"/>
      <c r="G83" s="57"/>
      <c r="H83" s="57"/>
      <c r="I83" s="57"/>
      <c r="J83" s="54"/>
      <c r="K83" s="54"/>
    </row>
    <row r="84" spans="1:11" s="43" customFormat="1" hidden="1" x14ac:dyDescent="0.2">
      <c r="A84" s="54"/>
      <c r="B84" s="54"/>
      <c r="C84" s="54"/>
      <c r="D84" s="54"/>
      <c r="E84" s="54"/>
      <c r="F84" s="57"/>
      <c r="G84" s="57"/>
      <c r="H84" s="57"/>
      <c r="I84" s="57"/>
      <c r="J84" s="54"/>
      <c r="K84" s="54"/>
    </row>
    <row r="85" spans="1:11" s="43" customFormat="1" hidden="1" x14ac:dyDescent="0.2">
      <c r="A85" s="54"/>
      <c r="B85" s="54"/>
      <c r="C85" s="54"/>
      <c r="D85" s="54"/>
      <c r="E85" s="54"/>
      <c r="F85" s="57"/>
      <c r="G85" s="57"/>
      <c r="H85" s="57"/>
      <c r="I85" s="57"/>
      <c r="J85" s="54"/>
      <c r="K85" s="54"/>
    </row>
    <row r="86" spans="1:11" s="43" customFormat="1" hidden="1" x14ac:dyDescent="0.2">
      <c r="A86" s="54"/>
      <c r="B86" s="54"/>
      <c r="C86" s="54"/>
      <c r="D86" s="54"/>
      <c r="E86" s="54"/>
      <c r="F86" s="57"/>
      <c r="G86" s="57"/>
      <c r="H86" s="57"/>
      <c r="I86" s="57"/>
      <c r="J86" s="54"/>
      <c r="K86" s="54"/>
    </row>
    <row r="87" spans="1:11" s="43" customFormat="1" hidden="1" x14ac:dyDescent="0.2">
      <c r="A87" s="54"/>
      <c r="B87" s="54"/>
      <c r="C87" s="54"/>
      <c r="D87" s="54"/>
      <c r="E87" s="54"/>
      <c r="F87" s="57"/>
      <c r="G87" s="57"/>
      <c r="H87" s="57"/>
      <c r="I87" s="57"/>
      <c r="J87" s="54"/>
      <c r="K87" s="54"/>
    </row>
    <row r="88" spans="1:11" s="43" customFormat="1" hidden="1" x14ac:dyDescent="0.2">
      <c r="A88" s="54"/>
      <c r="B88" s="54"/>
      <c r="C88" s="54"/>
      <c r="D88" s="54"/>
      <c r="E88" s="54"/>
      <c r="F88" s="57"/>
      <c r="G88" s="57"/>
      <c r="H88" s="57"/>
      <c r="I88" s="57"/>
      <c r="J88" s="54"/>
      <c r="K88" s="54"/>
    </row>
    <row r="89" spans="1:11" s="43" customFormat="1" hidden="1" x14ac:dyDescent="0.2">
      <c r="A89" s="54"/>
      <c r="B89" s="54"/>
      <c r="C89" s="54"/>
      <c r="D89" s="54"/>
      <c r="E89" s="54"/>
      <c r="F89" s="57"/>
      <c r="G89" s="57"/>
      <c r="H89" s="57"/>
      <c r="I89" s="57"/>
      <c r="J89" s="54"/>
      <c r="K89" s="54"/>
    </row>
    <row r="90" spans="1:11" s="43" customFormat="1" hidden="1" x14ac:dyDescent="0.2">
      <c r="A90" s="54"/>
      <c r="B90" s="54"/>
      <c r="C90" s="54"/>
      <c r="D90" s="54"/>
      <c r="E90" s="54"/>
      <c r="F90" s="57"/>
      <c r="G90" s="57"/>
      <c r="H90" s="57"/>
      <c r="I90" s="57"/>
      <c r="J90" s="54"/>
      <c r="K90" s="54"/>
    </row>
    <row r="91" spans="1:11" s="43" customFormat="1" hidden="1" x14ac:dyDescent="0.2">
      <c r="A91" s="54"/>
      <c r="B91" s="54"/>
      <c r="C91" s="54"/>
      <c r="D91" s="54"/>
      <c r="E91" s="54"/>
      <c r="F91" s="57"/>
      <c r="G91" s="57"/>
      <c r="H91" s="57"/>
      <c r="I91" s="57"/>
      <c r="J91" s="54"/>
      <c r="K91" s="54"/>
    </row>
    <row r="92" spans="1:11" s="43" customFormat="1" hidden="1" x14ac:dyDescent="0.2">
      <c r="A92" s="54"/>
      <c r="B92" s="54"/>
      <c r="C92" s="54"/>
      <c r="D92" s="54"/>
      <c r="E92" s="54"/>
      <c r="F92" s="57"/>
      <c r="G92" s="57"/>
      <c r="H92" s="57"/>
      <c r="I92" s="57"/>
      <c r="J92" s="54"/>
      <c r="K92" s="54"/>
    </row>
    <row r="93" spans="1:11" s="43" customFormat="1" hidden="1" x14ac:dyDescent="0.2">
      <c r="A93" s="54"/>
      <c r="B93" s="54"/>
      <c r="C93" s="54"/>
      <c r="D93" s="54"/>
      <c r="E93" s="54"/>
      <c r="F93" s="57"/>
      <c r="G93" s="57"/>
      <c r="H93" s="57"/>
      <c r="I93" s="57"/>
      <c r="J93" s="54"/>
      <c r="K93" s="54"/>
    </row>
    <row r="94" spans="1:11" s="43" customFormat="1" hidden="1" x14ac:dyDescent="0.2">
      <c r="A94" s="54"/>
      <c r="B94" s="54"/>
      <c r="C94" s="54"/>
      <c r="D94" s="54"/>
      <c r="E94" s="54"/>
      <c r="F94" s="57"/>
      <c r="G94" s="57"/>
      <c r="H94" s="57"/>
      <c r="I94" s="57"/>
      <c r="J94" s="54"/>
      <c r="K94" s="54"/>
    </row>
    <row r="95" spans="1:11" s="43" customFormat="1" hidden="1" x14ac:dyDescent="0.2">
      <c r="A95" s="54"/>
      <c r="B95" s="54"/>
      <c r="C95" s="54"/>
      <c r="D95" s="54"/>
      <c r="E95" s="54"/>
      <c r="F95" s="57"/>
      <c r="G95" s="57"/>
      <c r="H95" s="57"/>
      <c r="I95" s="57"/>
      <c r="J95" s="54"/>
      <c r="K95" s="54"/>
    </row>
    <row r="96" spans="1:11" s="43" customFormat="1" hidden="1" x14ac:dyDescent="0.2">
      <c r="A96" s="54"/>
      <c r="B96" s="54"/>
      <c r="C96" s="54"/>
      <c r="D96" s="54"/>
      <c r="E96" s="54"/>
      <c r="F96" s="57"/>
      <c r="G96" s="57"/>
      <c r="H96" s="57"/>
      <c r="I96" s="57"/>
      <c r="J96" s="54"/>
      <c r="K96" s="54"/>
    </row>
    <row r="97" spans="1:11" s="43" customFormat="1" hidden="1" x14ac:dyDescent="0.2">
      <c r="A97" s="54"/>
      <c r="B97" s="54"/>
      <c r="C97" s="54"/>
      <c r="D97" s="54"/>
      <c r="E97" s="54"/>
      <c r="F97" s="57"/>
      <c r="G97" s="57"/>
      <c r="H97" s="57"/>
      <c r="I97" s="57"/>
      <c r="J97" s="54"/>
      <c r="K97" s="54"/>
    </row>
    <row r="98" spans="1:11" s="43" customFormat="1" hidden="1" x14ac:dyDescent="0.2">
      <c r="A98" s="54"/>
      <c r="B98" s="54"/>
      <c r="C98" s="54"/>
      <c r="D98" s="54"/>
      <c r="E98" s="54"/>
      <c r="F98" s="57"/>
      <c r="G98" s="57"/>
      <c r="H98" s="57"/>
      <c r="I98" s="57"/>
      <c r="J98" s="54"/>
      <c r="K98" s="54"/>
    </row>
    <row r="99" spans="1:11" s="43" customFormat="1" hidden="1" x14ac:dyDescent="0.2">
      <c r="A99" s="54"/>
      <c r="B99" s="54"/>
      <c r="C99" s="54"/>
      <c r="D99" s="54"/>
      <c r="E99" s="54"/>
      <c r="F99" s="57"/>
      <c r="G99" s="57"/>
      <c r="H99" s="57"/>
      <c r="I99" s="57"/>
      <c r="J99" s="54"/>
      <c r="K99" s="54"/>
    </row>
    <row r="100" spans="1:11" s="43" customFormat="1" hidden="1" x14ac:dyDescent="0.2">
      <c r="A100" s="54"/>
      <c r="B100" s="54"/>
      <c r="C100" s="54"/>
      <c r="D100" s="54"/>
      <c r="E100" s="54"/>
      <c r="F100" s="57"/>
      <c r="G100" s="57"/>
      <c r="H100" s="57"/>
      <c r="I100" s="57"/>
      <c r="J100" s="54"/>
      <c r="K100" s="54"/>
    </row>
    <row r="101" spans="1:11" s="43" customFormat="1" hidden="1" x14ac:dyDescent="0.2">
      <c r="A101" s="54"/>
      <c r="B101" s="54"/>
      <c r="C101" s="54"/>
      <c r="D101" s="54"/>
      <c r="E101" s="54"/>
      <c r="F101" s="57"/>
      <c r="G101" s="57"/>
      <c r="H101" s="57"/>
      <c r="I101" s="57"/>
      <c r="J101" s="54"/>
      <c r="K101" s="54"/>
    </row>
    <row r="102" spans="1:11" s="43" customFormat="1" hidden="1" x14ac:dyDescent="0.2">
      <c r="A102" s="54"/>
      <c r="B102" s="54"/>
      <c r="C102" s="54"/>
      <c r="D102" s="54"/>
      <c r="E102" s="54"/>
      <c r="F102" s="57"/>
      <c r="G102" s="57"/>
      <c r="H102" s="57"/>
      <c r="I102" s="57"/>
      <c r="J102" s="54"/>
      <c r="K102" s="54"/>
    </row>
    <row r="103" spans="1:11" s="43" customFormat="1" hidden="1" x14ac:dyDescent="0.2">
      <c r="A103" s="54"/>
      <c r="B103" s="54"/>
      <c r="C103" s="54"/>
      <c r="D103" s="54"/>
      <c r="E103" s="54"/>
      <c r="F103" s="57"/>
      <c r="G103" s="57"/>
      <c r="H103" s="57"/>
      <c r="I103" s="57"/>
      <c r="J103" s="54"/>
      <c r="K103" s="54"/>
    </row>
    <row r="104" spans="1:11" s="43" customFormat="1" hidden="1" x14ac:dyDescent="0.2">
      <c r="A104" s="54"/>
      <c r="B104" s="54"/>
      <c r="C104" s="54"/>
      <c r="D104" s="54"/>
      <c r="E104" s="54"/>
      <c r="F104" s="57"/>
      <c r="G104" s="57"/>
      <c r="H104" s="57"/>
      <c r="I104" s="57"/>
      <c r="J104" s="54"/>
      <c r="K104" s="54"/>
    </row>
    <row r="105" spans="1:11" s="43" customFormat="1" hidden="1" x14ac:dyDescent="0.2">
      <c r="A105" s="54"/>
      <c r="B105" s="54"/>
      <c r="C105" s="54"/>
      <c r="D105" s="54"/>
      <c r="E105" s="54"/>
      <c r="F105" s="57"/>
      <c r="G105" s="57"/>
      <c r="H105" s="57"/>
      <c r="I105" s="57"/>
      <c r="J105" s="54"/>
      <c r="K105" s="54"/>
    </row>
    <row r="106" spans="1:11" s="43" customFormat="1" hidden="1" x14ac:dyDescent="0.2">
      <c r="A106" s="54"/>
      <c r="B106" s="54"/>
      <c r="C106" s="54"/>
      <c r="D106" s="54"/>
      <c r="E106" s="54"/>
      <c r="F106" s="57"/>
      <c r="G106" s="57"/>
      <c r="H106" s="57"/>
      <c r="I106" s="57"/>
      <c r="J106" s="54"/>
      <c r="K106" s="54"/>
    </row>
    <row r="107" spans="1:11" s="43" customFormat="1" hidden="1" x14ac:dyDescent="0.2">
      <c r="A107" s="54"/>
      <c r="B107" s="54"/>
      <c r="C107" s="54"/>
      <c r="D107" s="54"/>
      <c r="E107" s="54"/>
      <c r="F107" s="57"/>
      <c r="G107" s="57"/>
      <c r="H107" s="57"/>
      <c r="I107" s="57"/>
      <c r="J107" s="54"/>
      <c r="K107" s="54"/>
    </row>
    <row r="108" spans="1:11" s="43" customFormat="1" hidden="1" x14ac:dyDescent="0.2">
      <c r="A108" s="54"/>
      <c r="B108" s="54"/>
      <c r="C108" s="54"/>
      <c r="D108" s="54"/>
      <c r="E108" s="54"/>
      <c r="F108" s="57"/>
      <c r="G108" s="57"/>
      <c r="H108" s="57"/>
      <c r="I108" s="57"/>
      <c r="J108" s="54"/>
      <c r="K108" s="54"/>
    </row>
    <row r="109" spans="1:11" s="43" customFormat="1" hidden="1" x14ac:dyDescent="0.2">
      <c r="A109" s="54"/>
      <c r="B109" s="54"/>
      <c r="C109" s="54"/>
      <c r="D109" s="54"/>
      <c r="E109" s="54"/>
      <c r="F109" s="57"/>
      <c r="G109" s="57"/>
      <c r="H109" s="57"/>
      <c r="I109" s="57"/>
      <c r="J109" s="54"/>
      <c r="K109" s="54"/>
    </row>
    <row r="110" spans="1:11" s="43" customFormat="1" hidden="1" x14ac:dyDescent="0.2">
      <c r="A110" s="54"/>
      <c r="B110" s="54"/>
      <c r="C110" s="54"/>
      <c r="D110" s="54"/>
      <c r="E110" s="54"/>
      <c r="F110" s="57"/>
      <c r="G110" s="57"/>
      <c r="H110" s="57"/>
      <c r="I110" s="57"/>
      <c r="J110" s="54"/>
      <c r="K110" s="54"/>
    </row>
    <row r="111" spans="1:11" s="43" customFormat="1" hidden="1" x14ac:dyDescent="0.2">
      <c r="A111" s="54"/>
      <c r="B111" s="54"/>
      <c r="C111" s="54"/>
      <c r="D111" s="54"/>
      <c r="E111" s="54"/>
      <c r="F111" s="57"/>
      <c r="G111" s="57"/>
      <c r="H111" s="57"/>
      <c r="I111" s="57"/>
      <c r="J111" s="54"/>
      <c r="K111" s="54"/>
    </row>
    <row r="112" spans="1:11" s="43" customFormat="1" hidden="1" x14ac:dyDescent="0.2">
      <c r="A112" s="54"/>
      <c r="B112" s="54"/>
      <c r="C112" s="54"/>
      <c r="D112" s="54"/>
      <c r="E112" s="54"/>
      <c r="F112" s="57"/>
      <c r="G112" s="57"/>
      <c r="H112" s="57"/>
      <c r="I112" s="57"/>
      <c r="J112" s="54"/>
      <c r="K112" s="54"/>
    </row>
    <row r="113" spans="1:11" s="43" customFormat="1" hidden="1" x14ac:dyDescent="0.2">
      <c r="A113" s="54"/>
      <c r="B113" s="54"/>
      <c r="C113" s="54"/>
      <c r="D113" s="54"/>
      <c r="E113" s="54"/>
      <c r="F113" s="57"/>
      <c r="G113" s="57"/>
      <c r="H113" s="57"/>
      <c r="I113" s="57"/>
      <c r="J113" s="54"/>
      <c r="K113" s="54"/>
    </row>
    <row r="114" spans="1:11" s="43" customFormat="1" hidden="1" x14ac:dyDescent="0.2">
      <c r="A114" s="54"/>
      <c r="B114" s="54"/>
      <c r="C114" s="54"/>
      <c r="D114" s="54"/>
      <c r="E114" s="54"/>
      <c r="F114" s="57"/>
      <c r="G114" s="57"/>
      <c r="H114" s="57"/>
      <c r="I114" s="57"/>
      <c r="J114" s="54"/>
      <c r="K114" s="54"/>
    </row>
    <row r="115" spans="1:11" s="43" customFormat="1" hidden="1" x14ac:dyDescent="0.2">
      <c r="A115" s="54"/>
      <c r="B115" s="54"/>
      <c r="C115" s="54"/>
      <c r="D115" s="54"/>
      <c r="E115" s="54"/>
      <c r="F115" s="57"/>
      <c r="G115" s="57"/>
      <c r="H115" s="57"/>
      <c r="I115" s="57"/>
      <c r="J115" s="54"/>
      <c r="K115" s="54"/>
    </row>
    <row r="116" spans="1:11" s="43" customFormat="1" hidden="1" x14ac:dyDescent="0.2">
      <c r="A116" s="54"/>
      <c r="B116" s="54"/>
      <c r="C116" s="54"/>
      <c r="D116" s="54"/>
      <c r="E116" s="54"/>
      <c r="F116" s="57"/>
      <c r="G116" s="57"/>
      <c r="H116" s="57"/>
      <c r="I116" s="57"/>
      <c r="J116" s="54"/>
      <c r="K116" s="54"/>
    </row>
    <row r="117" spans="1:11" s="43" customFormat="1" hidden="1" x14ac:dyDescent="0.2">
      <c r="A117" s="54"/>
      <c r="B117" s="54"/>
      <c r="C117" s="54"/>
      <c r="D117" s="54"/>
      <c r="E117" s="54"/>
      <c r="F117" s="57"/>
      <c r="G117" s="57"/>
      <c r="H117" s="57"/>
      <c r="I117" s="57"/>
      <c r="J117" s="54"/>
      <c r="K117" s="54"/>
    </row>
    <row r="118" spans="1:11" s="43" customFormat="1" hidden="1" x14ac:dyDescent="0.2">
      <c r="A118" s="54"/>
      <c r="B118" s="54"/>
      <c r="C118" s="54"/>
      <c r="D118" s="54"/>
      <c r="E118" s="54"/>
      <c r="F118" s="57"/>
      <c r="G118" s="57"/>
      <c r="H118" s="57"/>
      <c r="I118" s="57"/>
      <c r="J118" s="54"/>
      <c r="K118" s="54"/>
    </row>
    <row r="119" spans="1:11" s="43" customFormat="1" hidden="1" x14ac:dyDescent="0.2">
      <c r="A119" s="54"/>
      <c r="B119" s="54"/>
      <c r="C119" s="54"/>
      <c r="D119" s="54"/>
      <c r="E119" s="54"/>
      <c r="F119" s="57"/>
      <c r="G119" s="57"/>
      <c r="H119" s="57"/>
      <c r="I119" s="57"/>
      <c r="J119" s="54"/>
      <c r="K119" s="54"/>
    </row>
    <row r="120" spans="1:11" s="43" customFormat="1" hidden="1" x14ac:dyDescent="0.2">
      <c r="A120" s="54"/>
      <c r="B120" s="54"/>
      <c r="C120" s="54"/>
      <c r="D120" s="54"/>
      <c r="E120" s="54"/>
      <c r="F120" s="57"/>
      <c r="G120" s="57"/>
      <c r="H120" s="57"/>
      <c r="I120" s="57"/>
      <c r="J120" s="54"/>
      <c r="K120" s="54"/>
    </row>
    <row r="121" spans="1:11" s="43" customFormat="1" hidden="1" x14ac:dyDescent="0.2">
      <c r="A121" s="54"/>
      <c r="B121" s="54"/>
      <c r="C121" s="54"/>
      <c r="D121" s="54"/>
      <c r="E121" s="54"/>
      <c r="F121" s="57"/>
      <c r="G121" s="57"/>
      <c r="H121" s="57"/>
      <c r="I121" s="57"/>
      <c r="J121" s="54"/>
      <c r="K121" s="54"/>
    </row>
    <row r="122" spans="1:11" s="43" customFormat="1" hidden="1" x14ac:dyDescent="0.2">
      <c r="A122" s="54"/>
      <c r="B122" s="54"/>
      <c r="C122" s="54"/>
      <c r="D122" s="54"/>
      <c r="E122" s="54"/>
      <c r="F122" s="57"/>
      <c r="G122" s="57"/>
      <c r="H122" s="57"/>
      <c r="I122" s="57"/>
      <c r="J122" s="54"/>
      <c r="K122" s="54"/>
    </row>
    <row r="123" spans="1:11" s="43" customFormat="1" hidden="1" x14ac:dyDescent="0.2">
      <c r="A123" s="54"/>
      <c r="B123" s="54"/>
      <c r="C123" s="54"/>
      <c r="D123" s="54"/>
      <c r="E123" s="54"/>
      <c r="F123" s="57"/>
      <c r="G123" s="57"/>
      <c r="H123" s="57"/>
      <c r="I123" s="57"/>
      <c r="J123" s="54"/>
      <c r="K123" s="54"/>
    </row>
    <row r="124" spans="1:11" s="43" customFormat="1" hidden="1" x14ac:dyDescent="0.2">
      <c r="A124" s="54"/>
      <c r="B124" s="54"/>
      <c r="C124" s="54"/>
      <c r="D124" s="54"/>
      <c r="E124" s="54"/>
      <c r="F124" s="57"/>
      <c r="G124" s="57"/>
      <c r="H124" s="57"/>
      <c r="I124" s="57"/>
      <c r="J124" s="54"/>
      <c r="K124" s="54"/>
    </row>
    <row r="125" spans="1:11" s="43" customFormat="1" hidden="1" x14ac:dyDescent="0.2">
      <c r="A125" s="54"/>
      <c r="B125" s="54"/>
      <c r="C125" s="54"/>
      <c r="D125" s="54"/>
      <c r="E125" s="54"/>
      <c r="F125" s="57"/>
      <c r="G125" s="57"/>
      <c r="H125" s="57"/>
      <c r="I125" s="57"/>
      <c r="J125" s="54"/>
      <c r="K125" s="54"/>
    </row>
    <row r="126" spans="1:11" s="43" customFormat="1" hidden="1" x14ac:dyDescent="0.2">
      <c r="A126" s="54"/>
      <c r="B126" s="54"/>
      <c r="C126" s="54"/>
      <c r="D126" s="54"/>
      <c r="E126" s="54"/>
      <c r="F126" s="57"/>
      <c r="G126" s="57"/>
      <c r="H126" s="57"/>
      <c r="I126" s="57"/>
      <c r="J126" s="54"/>
      <c r="K126" s="54"/>
    </row>
    <row r="127" spans="1:11" s="43" customFormat="1" hidden="1" x14ac:dyDescent="0.2">
      <c r="A127" s="54"/>
      <c r="B127" s="54"/>
      <c r="C127" s="54"/>
      <c r="D127" s="54"/>
      <c r="E127" s="54"/>
      <c r="F127" s="57"/>
      <c r="G127" s="57"/>
      <c r="H127" s="57"/>
      <c r="I127" s="57"/>
      <c r="J127" s="54"/>
      <c r="K127" s="54"/>
    </row>
    <row r="128" spans="1:11" s="43" customFormat="1" hidden="1" x14ac:dyDescent="0.2">
      <c r="A128" s="54"/>
      <c r="B128" s="54"/>
      <c r="C128" s="54"/>
      <c r="D128" s="54"/>
      <c r="E128" s="54"/>
      <c r="F128" s="57"/>
      <c r="G128" s="57"/>
      <c r="H128" s="57"/>
      <c r="I128" s="57"/>
      <c r="J128" s="54"/>
      <c r="K128" s="54"/>
    </row>
    <row r="129" spans="1:11" s="43" customFormat="1" hidden="1" x14ac:dyDescent="0.2">
      <c r="A129" s="54"/>
      <c r="B129" s="54"/>
      <c r="C129" s="54"/>
      <c r="D129" s="54"/>
      <c r="E129" s="54"/>
      <c r="F129" s="57"/>
      <c r="G129" s="57"/>
      <c r="H129" s="57"/>
      <c r="I129" s="57"/>
      <c r="J129" s="54"/>
      <c r="K129" s="54"/>
    </row>
    <row r="130" spans="1:11" s="43" customFormat="1" hidden="1" x14ac:dyDescent="0.2">
      <c r="A130" s="54"/>
      <c r="B130" s="54"/>
      <c r="C130" s="54"/>
      <c r="D130" s="54"/>
      <c r="E130" s="54"/>
      <c r="F130" s="57"/>
      <c r="G130" s="57"/>
      <c r="H130" s="57"/>
      <c r="I130" s="57"/>
      <c r="J130" s="54"/>
      <c r="K130" s="54"/>
    </row>
    <row r="131" spans="1:11" s="43" customFormat="1" hidden="1" x14ac:dyDescent="0.2">
      <c r="A131" s="54"/>
      <c r="B131" s="54"/>
      <c r="C131" s="54"/>
      <c r="D131" s="54"/>
      <c r="E131" s="54"/>
      <c r="F131" s="57"/>
      <c r="G131" s="57"/>
      <c r="H131" s="57"/>
      <c r="I131" s="57"/>
      <c r="J131" s="54"/>
      <c r="K131" s="54"/>
    </row>
    <row r="132" spans="1:11" s="43" customFormat="1" hidden="1" x14ac:dyDescent="0.2">
      <c r="A132" s="54"/>
      <c r="B132" s="54"/>
      <c r="C132" s="54"/>
      <c r="D132" s="54"/>
      <c r="E132" s="54"/>
      <c r="F132" s="57"/>
      <c r="G132" s="57"/>
      <c r="H132" s="57"/>
      <c r="I132" s="57"/>
      <c r="J132" s="54"/>
      <c r="K132" s="54"/>
    </row>
    <row r="133" spans="1:11" s="43" customFormat="1" hidden="1" x14ac:dyDescent="0.2">
      <c r="A133" s="54"/>
      <c r="B133" s="54"/>
      <c r="C133" s="54"/>
      <c r="D133" s="54"/>
      <c r="E133" s="54"/>
      <c r="F133" s="57"/>
      <c r="G133" s="57"/>
      <c r="H133" s="57"/>
      <c r="I133" s="57"/>
      <c r="J133" s="54"/>
      <c r="K133" s="54"/>
    </row>
    <row r="134" spans="1:11" s="43" customFormat="1" hidden="1" x14ac:dyDescent="0.2">
      <c r="A134" s="54"/>
      <c r="B134" s="54"/>
      <c r="C134" s="54"/>
      <c r="D134" s="54"/>
      <c r="E134" s="54"/>
      <c r="F134" s="57"/>
      <c r="G134" s="57"/>
      <c r="H134" s="57"/>
      <c r="I134" s="57"/>
      <c r="J134" s="54"/>
      <c r="K134" s="54"/>
    </row>
    <row r="135" spans="1:11" s="43" customFormat="1" hidden="1" x14ac:dyDescent="0.2">
      <c r="A135" s="54"/>
      <c r="B135" s="54"/>
      <c r="C135" s="54"/>
      <c r="D135" s="54"/>
      <c r="E135" s="54"/>
      <c r="F135" s="57"/>
      <c r="G135" s="57"/>
      <c r="H135" s="57"/>
      <c r="I135" s="57"/>
      <c r="J135" s="54"/>
      <c r="K135" s="54"/>
    </row>
    <row r="136" spans="1:11" s="43" customFormat="1" hidden="1" x14ac:dyDescent="0.2">
      <c r="A136" s="54"/>
      <c r="B136" s="54"/>
      <c r="C136" s="54"/>
      <c r="D136" s="54"/>
      <c r="E136" s="54"/>
      <c r="F136" s="57"/>
      <c r="G136" s="57"/>
      <c r="H136" s="57"/>
      <c r="I136" s="57"/>
      <c r="J136" s="54"/>
      <c r="K136" s="54"/>
    </row>
    <row r="137" spans="1:11" s="43" customFormat="1" hidden="1" x14ac:dyDescent="0.2">
      <c r="A137" s="54"/>
      <c r="B137" s="54"/>
      <c r="C137" s="54"/>
      <c r="D137" s="54"/>
      <c r="E137" s="54"/>
      <c r="F137" s="57"/>
      <c r="G137" s="57"/>
      <c r="H137" s="57"/>
      <c r="I137" s="57"/>
      <c r="J137" s="54"/>
      <c r="K137" s="54"/>
    </row>
    <row r="138" spans="1:11" s="43" customFormat="1" hidden="1" x14ac:dyDescent="0.2">
      <c r="A138" s="54"/>
      <c r="B138" s="54"/>
      <c r="C138" s="54"/>
      <c r="D138" s="54"/>
      <c r="E138" s="54"/>
      <c r="F138" s="57"/>
      <c r="G138" s="57"/>
      <c r="H138" s="57"/>
      <c r="I138" s="57"/>
      <c r="J138" s="54"/>
      <c r="K138" s="54"/>
    </row>
    <row r="139" spans="1:11" s="43" customFormat="1" hidden="1" x14ac:dyDescent="0.2">
      <c r="A139" s="54"/>
      <c r="B139" s="54"/>
      <c r="C139" s="54"/>
      <c r="D139" s="54"/>
      <c r="E139" s="54"/>
      <c r="F139" s="57"/>
      <c r="G139" s="57"/>
      <c r="H139" s="57"/>
      <c r="I139" s="57"/>
      <c r="J139" s="54"/>
      <c r="K139" s="54"/>
    </row>
    <row r="140" spans="1:11" s="43" customFormat="1" hidden="1" x14ac:dyDescent="0.2">
      <c r="A140" s="54"/>
      <c r="B140" s="54"/>
      <c r="C140" s="54"/>
      <c r="D140" s="54"/>
      <c r="E140" s="54"/>
      <c r="F140" s="57"/>
      <c r="G140" s="57"/>
      <c r="H140" s="57"/>
      <c r="I140" s="57"/>
      <c r="J140" s="54"/>
      <c r="K140" s="54"/>
    </row>
    <row r="141" spans="1:11" s="43" customFormat="1" hidden="1" x14ac:dyDescent="0.2">
      <c r="A141" s="54"/>
      <c r="B141" s="54"/>
      <c r="C141" s="54"/>
      <c r="D141" s="54"/>
      <c r="E141" s="54"/>
      <c r="F141" s="57"/>
      <c r="G141" s="57"/>
      <c r="H141" s="57"/>
      <c r="I141" s="57"/>
      <c r="J141" s="54"/>
      <c r="K141" s="54"/>
    </row>
    <row r="142" spans="1:11" s="43" customFormat="1" hidden="1" x14ac:dyDescent="0.2">
      <c r="A142" s="54"/>
      <c r="B142" s="54"/>
      <c r="C142" s="54"/>
      <c r="D142" s="54"/>
      <c r="E142" s="54"/>
      <c r="F142" s="57"/>
      <c r="G142" s="57"/>
      <c r="H142" s="57"/>
      <c r="I142" s="57"/>
      <c r="J142" s="54"/>
      <c r="K142" s="54"/>
    </row>
    <row r="143" spans="1:11" s="43" customFormat="1" hidden="1" x14ac:dyDescent="0.2">
      <c r="A143" s="54"/>
      <c r="B143" s="54"/>
      <c r="C143" s="54"/>
      <c r="D143" s="54"/>
      <c r="E143" s="54"/>
      <c r="F143" s="57"/>
      <c r="G143" s="57"/>
      <c r="H143" s="57"/>
      <c r="I143" s="57"/>
      <c r="J143" s="54"/>
      <c r="K143" s="54"/>
    </row>
    <row r="144" spans="1:11" s="43" customFormat="1" hidden="1" x14ac:dyDescent="0.2">
      <c r="A144" s="54"/>
      <c r="B144" s="54"/>
      <c r="C144" s="54"/>
      <c r="D144" s="54"/>
      <c r="E144" s="54"/>
      <c r="F144" s="57"/>
      <c r="G144" s="57"/>
      <c r="H144" s="57"/>
      <c r="I144" s="57"/>
      <c r="J144" s="54"/>
      <c r="K144" s="54"/>
    </row>
    <row r="145" spans="1:11" s="43" customFormat="1" hidden="1" x14ac:dyDescent="0.2">
      <c r="A145" s="54"/>
      <c r="B145" s="54"/>
      <c r="C145" s="54"/>
      <c r="D145" s="54"/>
      <c r="E145" s="54"/>
      <c r="F145" s="57"/>
      <c r="G145" s="57"/>
      <c r="H145" s="57"/>
      <c r="I145" s="57"/>
      <c r="J145" s="54"/>
      <c r="K145" s="54"/>
    </row>
    <row r="146" spans="1:11" s="43" customFormat="1" hidden="1" x14ac:dyDescent="0.2">
      <c r="A146" s="54"/>
      <c r="B146" s="54"/>
      <c r="C146" s="54"/>
      <c r="D146" s="54"/>
      <c r="E146" s="54"/>
      <c r="F146" s="57"/>
      <c r="G146" s="57"/>
      <c r="H146" s="57"/>
      <c r="I146" s="57"/>
      <c r="J146" s="54"/>
      <c r="K146" s="54"/>
    </row>
    <row r="147" spans="1:11" s="43" customFormat="1" hidden="1" x14ac:dyDescent="0.2">
      <c r="A147" s="54"/>
      <c r="B147" s="54"/>
      <c r="C147" s="54"/>
      <c r="D147" s="54"/>
      <c r="E147" s="54"/>
      <c r="F147" s="57"/>
      <c r="G147" s="57"/>
      <c r="H147" s="57"/>
      <c r="I147" s="57"/>
      <c r="J147" s="54"/>
      <c r="K147" s="54"/>
    </row>
    <row r="148" spans="1:11" s="43" customFormat="1" hidden="1" x14ac:dyDescent="0.2">
      <c r="A148" s="54"/>
      <c r="B148" s="54"/>
      <c r="C148" s="54"/>
      <c r="D148" s="54"/>
      <c r="E148" s="54"/>
      <c r="F148" s="57"/>
      <c r="G148" s="57"/>
      <c r="H148" s="57"/>
      <c r="I148" s="57"/>
      <c r="J148" s="54"/>
      <c r="K148" s="54"/>
    </row>
    <row r="149" spans="1:11" s="43" customFormat="1" hidden="1" x14ac:dyDescent="0.2">
      <c r="A149" s="54"/>
      <c r="B149" s="54"/>
      <c r="C149" s="54"/>
      <c r="D149" s="54"/>
      <c r="E149" s="54"/>
      <c r="F149" s="57"/>
      <c r="G149" s="57"/>
      <c r="H149" s="57"/>
      <c r="I149" s="57"/>
      <c r="J149" s="54"/>
      <c r="K149" s="54"/>
    </row>
    <row r="150" spans="1:11" s="43" customFormat="1" hidden="1" x14ac:dyDescent="0.2">
      <c r="A150" s="54"/>
      <c r="B150" s="54"/>
      <c r="C150" s="54"/>
      <c r="D150" s="54"/>
      <c r="E150" s="54"/>
      <c r="F150" s="57"/>
      <c r="G150" s="57"/>
      <c r="H150" s="57"/>
      <c r="I150" s="57"/>
      <c r="J150" s="54"/>
      <c r="K150" s="54"/>
    </row>
    <row r="151" spans="1:11" s="43" customFormat="1" hidden="1" x14ac:dyDescent="0.2">
      <c r="A151" s="54"/>
      <c r="B151" s="54"/>
      <c r="C151" s="54"/>
      <c r="D151" s="54"/>
      <c r="E151" s="54"/>
      <c r="F151" s="57"/>
      <c r="G151" s="57"/>
      <c r="H151" s="57"/>
      <c r="I151" s="57"/>
      <c r="J151" s="54"/>
      <c r="K151" s="54"/>
    </row>
    <row r="152" spans="1:11" s="43" customFormat="1" hidden="1" x14ac:dyDescent="0.2">
      <c r="A152" s="54"/>
      <c r="B152" s="54"/>
      <c r="C152" s="54"/>
      <c r="D152" s="54"/>
      <c r="E152" s="54"/>
      <c r="F152" s="57"/>
      <c r="G152" s="57"/>
      <c r="H152" s="57"/>
      <c r="I152" s="57"/>
      <c r="J152" s="54"/>
      <c r="K152" s="54"/>
    </row>
    <row r="153" spans="1:11" s="43" customFormat="1" hidden="1" x14ac:dyDescent="0.2">
      <c r="A153" s="54"/>
      <c r="B153" s="54"/>
      <c r="C153" s="54"/>
      <c r="D153" s="54"/>
      <c r="E153" s="54"/>
      <c r="F153" s="57"/>
      <c r="G153" s="57"/>
      <c r="H153" s="57"/>
      <c r="I153" s="57"/>
      <c r="J153" s="54"/>
      <c r="K153" s="54"/>
    </row>
    <row r="154" spans="1:11" s="43" customFormat="1" hidden="1" x14ac:dyDescent="0.2">
      <c r="A154" s="54"/>
      <c r="B154" s="54"/>
      <c r="C154" s="54"/>
      <c r="D154" s="54"/>
      <c r="E154" s="54"/>
      <c r="F154" s="57"/>
      <c r="G154" s="57"/>
      <c r="H154" s="57"/>
      <c r="I154" s="57"/>
      <c r="J154" s="54"/>
      <c r="K154" s="54"/>
    </row>
    <row r="155" spans="1:11" s="43" customFormat="1" hidden="1" x14ac:dyDescent="0.2">
      <c r="A155" s="54"/>
      <c r="B155" s="54"/>
      <c r="C155" s="54"/>
      <c r="D155" s="54"/>
      <c r="E155" s="54"/>
      <c r="F155" s="57"/>
      <c r="G155" s="57"/>
      <c r="H155" s="57"/>
      <c r="I155" s="57"/>
      <c r="J155" s="54"/>
      <c r="K155" s="54"/>
    </row>
    <row r="156" spans="1:11" s="43" customFormat="1" hidden="1" x14ac:dyDescent="0.2">
      <c r="A156" s="54"/>
      <c r="B156" s="54"/>
      <c r="C156" s="54"/>
      <c r="D156" s="54"/>
      <c r="E156" s="54"/>
      <c r="F156" s="57"/>
      <c r="G156" s="57"/>
      <c r="H156" s="57"/>
      <c r="I156" s="57"/>
      <c r="J156" s="54"/>
      <c r="K156" s="54"/>
    </row>
    <row r="157" spans="1:11" s="43" customFormat="1" hidden="1" x14ac:dyDescent="0.2">
      <c r="A157" s="54"/>
      <c r="B157" s="54"/>
      <c r="C157" s="54"/>
      <c r="D157" s="54"/>
      <c r="E157" s="54"/>
      <c r="F157" s="57"/>
      <c r="G157" s="57"/>
      <c r="H157" s="57"/>
      <c r="I157" s="57"/>
      <c r="J157" s="54"/>
      <c r="K157" s="54"/>
    </row>
    <row r="158" spans="1:11" s="43" customFormat="1" hidden="1" x14ac:dyDescent="0.2">
      <c r="A158" s="54"/>
      <c r="B158" s="54"/>
      <c r="C158" s="54"/>
      <c r="D158" s="54"/>
      <c r="E158" s="54"/>
      <c r="F158" s="57"/>
      <c r="G158" s="57"/>
      <c r="H158" s="57"/>
      <c r="I158" s="57"/>
      <c r="J158" s="54"/>
      <c r="K158" s="54"/>
    </row>
    <row r="159" spans="1:11" s="43" customFormat="1" hidden="1" x14ac:dyDescent="0.2">
      <c r="A159" s="54"/>
      <c r="B159" s="54"/>
      <c r="C159" s="54"/>
      <c r="D159" s="54"/>
      <c r="E159" s="54"/>
      <c r="F159" s="57"/>
      <c r="G159" s="57"/>
      <c r="H159" s="57"/>
      <c r="I159" s="57"/>
      <c r="J159" s="54"/>
      <c r="K159" s="54"/>
    </row>
    <row r="160" spans="1:11" s="43" customFormat="1" hidden="1" x14ac:dyDescent="0.2">
      <c r="A160" s="54"/>
      <c r="B160" s="54"/>
      <c r="C160" s="54"/>
      <c r="D160" s="54"/>
      <c r="E160" s="54"/>
      <c r="F160" s="57"/>
      <c r="G160" s="57"/>
      <c r="H160" s="57"/>
      <c r="I160" s="57"/>
      <c r="J160" s="54"/>
      <c r="K160" s="54"/>
    </row>
    <row r="161" spans="1:11" s="43" customFormat="1" hidden="1" x14ac:dyDescent="0.2">
      <c r="A161" s="54"/>
      <c r="B161" s="54"/>
      <c r="C161" s="54"/>
      <c r="D161" s="54"/>
      <c r="E161" s="54"/>
      <c r="F161" s="57"/>
      <c r="G161" s="57"/>
      <c r="H161" s="57"/>
      <c r="I161" s="57"/>
      <c r="J161" s="54"/>
      <c r="K161" s="54"/>
    </row>
    <row r="162" spans="1:11" s="43" customFormat="1" hidden="1" x14ac:dyDescent="0.2">
      <c r="A162" s="54"/>
      <c r="B162" s="54"/>
      <c r="C162" s="54"/>
      <c r="D162" s="54"/>
      <c r="E162" s="54"/>
      <c r="F162" s="57"/>
      <c r="G162" s="57"/>
      <c r="H162" s="57"/>
      <c r="I162" s="57"/>
      <c r="J162" s="54"/>
      <c r="K162" s="54"/>
    </row>
    <row r="163" spans="1:11" s="43" customFormat="1" hidden="1" x14ac:dyDescent="0.2">
      <c r="A163" s="54"/>
      <c r="B163" s="54"/>
      <c r="C163" s="54"/>
      <c r="D163" s="54"/>
      <c r="E163" s="54"/>
      <c r="F163" s="57"/>
      <c r="G163" s="57"/>
      <c r="H163" s="57"/>
      <c r="I163" s="57"/>
      <c r="J163" s="54"/>
      <c r="K163" s="54"/>
    </row>
    <row r="164" spans="1:11" s="43" customFormat="1" hidden="1" x14ac:dyDescent="0.2">
      <c r="A164" s="54"/>
      <c r="B164" s="54"/>
      <c r="C164" s="54"/>
      <c r="D164" s="54"/>
      <c r="E164" s="54"/>
      <c r="F164" s="57"/>
      <c r="G164" s="57"/>
      <c r="H164" s="57"/>
      <c r="I164" s="57"/>
      <c r="J164" s="54"/>
      <c r="K164" s="54"/>
    </row>
    <row r="165" spans="1:11" s="43" customFormat="1" hidden="1" x14ac:dyDescent="0.2">
      <c r="A165" s="54"/>
      <c r="B165" s="54"/>
      <c r="C165" s="54"/>
      <c r="D165" s="54"/>
      <c r="E165" s="54"/>
      <c r="F165" s="57"/>
      <c r="G165" s="57"/>
      <c r="H165" s="57"/>
      <c r="I165" s="57"/>
      <c r="J165" s="54"/>
      <c r="K165" s="54"/>
    </row>
    <row r="166" spans="1:11" s="43" customFormat="1" hidden="1" x14ac:dyDescent="0.2">
      <c r="A166" s="54"/>
      <c r="B166" s="54"/>
      <c r="C166" s="54"/>
      <c r="D166" s="54"/>
      <c r="E166" s="54"/>
      <c r="F166" s="57"/>
      <c r="G166" s="57"/>
      <c r="H166" s="57"/>
      <c r="I166" s="57"/>
      <c r="J166" s="54"/>
      <c r="K166" s="54"/>
    </row>
    <row r="167" spans="1:11" s="43" customFormat="1" hidden="1" x14ac:dyDescent="0.2">
      <c r="A167" s="54"/>
      <c r="B167" s="54"/>
      <c r="C167" s="54"/>
      <c r="D167" s="54"/>
      <c r="E167" s="54"/>
      <c r="F167" s="57"/>
      <c r="G167" s="57"/>
      <c r="H167" s="57"/>
      <c r="I167" s="57"/>
      <c r="J167" s="54"/>
      <c r="K167" s="54"/>
    </row>
    <row r="168" spans="1:11" s="43" customFormat="1" hidden="1" x14ac:dyDescent="0.2">
      <c r="A168" s="54"/>
      <c r="B168" s="54"/>
      <c r="C168" s="54"/>
      <c r="D168" s="54"/>
      <c r="E168" s="54"/>
      <c r="F168" s="57"/>
      <c r="G168" s="57"/>
      <c r="H168" s="57"/>
      <c r="I168" s="57"/>
      <c r="J168" s="54"/>
      <c r="K168" s="54"/>
    </row>
    <row r="169" spans="1:11" s="43" customFormat="1" hidden="1" x14ac:dyDescent="0.2">
      <c r="A169" s="54"/>
      <c r="B169" s="54"/>
      <c r="C169" s="54"/>
      <c r="D169" s="54"/>
      <c r="E169" s="54"/>
      <c r="F169" s="57"/>
      <c r="G169" s="57"/>
      <c r="H169" s="57"/>
      <c r="I169" s="57"/>
      <c r="J169" s="54"/>
      <c r="K169" s="54"/>
    </row>
    <row r="170" spans="1:11" s="43" customFormat="1" hidden="1" x14ac:dyDescent="0.2">
      <c r="A170" s="54"/>
      <c r="B170" s="54"/>
      <c r="C170" s="54"/>
      <c r="D170" s="54"/>
      <c r="E170" s="54"/>
      <c r="F170" s="57"/>
      <c r="G170" s="57"/>
      <c r="H170" s="57"/>
      <c r="I170" s="57"/>
      <c r="J170" s="54"/>
      <c r="K170" s="54"/>
    </row>
    <row r="171" spans="1:11" s="43" customFormat="1" hidden="1" x14ac:dyDescent="0.2">
      <c r="A171" s="54"/>
      <c r="B171" s="54"/>
      <c r="C171" s="54"/>
      <c r="D171" s="54"/>
      <c r="E171" s="54"/>
      <c r="F171" s="57"/>
      <c r="G171" s="57"/>
      <c r="H171" s="57"/>
      <c r="I171" s="57"/>
      <c r="J171" s="54"/>
      <c r="K171" s="54"/>
    </row>
    <row r="172" spans="1:11" s="43" customFormat="1" hidden="1" x14ac:dyDescent="0.2">
      <c r="A172" s="54"/>
      <c r="B172" s="54"/>
      <c r="C172" s="54"/>
      <c r="D172" s="54"/>
      <c r="E172" s="54"/>
      <c r="F172" s="57"/>
      <c r="G172" s="57"/>
      <c r="H172" s="57"/>
      <c r="I172" s="57"/>
      <c r="J172" s="54"/>
      <c r="K172" s="54"/>
    </row>
    <row r="173" spans="1:11" s="43" customFormat="1" hidden="1" x14ac:dyDescent="0.2">
      <c r="A173" s="54"/>
      <c r="B173" s="54"/>
      <c r="C173" s="54"/>
      <c r="D173" s="54"/>
      <c r="E173" s="54"/>
      <c r="F173" s="57"/>
      <c r="G173" s="57"/>
      <c r="H173" s="57"/>
      <c r="I173" s="57"/>
      <c r="J173" s="54"/>
      <c r="K173" s="54"/>
    </row>
    <row r="174" spans="1:11" s="43" customFormat="1" hidden="1" x14ac:dyDescent="0.2">
      <c r="A174" s="54"/>
      <c r="B174" s="54"/>
      <c r="C174" s="54"/>
      <c r="D174" s="54"/>
      <c r="E174" s="54"/>
      <c r="F174" s="57"/>
      <c r="G174" s="57"/>
      <c r="H174" s="57"/>
      <c r="I174" s="57"/>
      <c r="J174" s="54"/>
      <c r="K174" s="54"/>
    </row>
    <row r="175" spans="1:11" s="43" customFormat="1" hidden="1" x14ac:dyDescent="0.2">
      <c r="A175" s="54"/>
      <c r="B175" s="54"/>
      <c r="C175" s="54"/>
      <c r="D175" s="54"/>
      <c r="E175" s="54"/>
      <c r="F175" s="57"/>
      <c r="G175" s="57"/>
      <c r="H175" s="57"/>
      <c r="I175" s="57"/>
      <c r="J175" s="54"/>
      <c r="K175" s="54"/>
    </row>
    <row r="176" spans="1:11" s="43" customFormat="1" hidden="1" x14ac:dyDescent="0.2">
      <c r="A176" s="54"/>
      <c r="B176" s="54"/>
      <c r="C176" s="54"/>
      <c r="D176" s="54"/>
      <c r="E176" s="54"/>
      <c r="F176" s="57"/>
      <c r="G176" s="57"/>
      <c r="H176" s="57"/>
      <c r="I176" s="57"/>
      <c r="J176" s="54"/>
      <c r="K176" s="54"/>
    </row>
    <row r="177" spans="1:11" s="43" customFormat="1" hidden="1" x14ac:dyDescent="0.2">
      <c r="A177" s="54"/>
      <c r="B177" s="54"/>
      <c r="C177" s="54"/>
      <c r="D177" s="54"/>
      <c r="E177" s="54"/>
      <c r="F177" s="57"/>
      <c r="G177" s="57"/>
      <c r="H177" s="57"/>
      <c r="I177" s="57"/>
      <c r="J177" s="54"/>
      <c r="K177" s="54"/>
    </row>
    <row r="178" spans="1:11" s="43" customFormat="1" hidden="1" x14ac:dyDescent="0.2">
      <c r="A178" s="54"/>
      <c r="B178" s="54"/>
      <c r="C178" s="54"/>
      <c r="D178" s="54"/>
      <c r="E178" s="54"/>
      <c r="F178" s="57"/>
      <c r="G178" s="57"/>
      <c r="H178" s="57"/>
      <c r="I178" s="57"/>
      <c r="J178" s="54"/>
      <c r="K178" s="54"/>
    </row>
    <row r="179" spans="1:11" s="43" customFormat="1" hidden="1" x14ac:dyDescent="0.2">
      <c r="A179" s="54"/>
      <c r="B179" s="54"/>
      <c r="C179" s="54"/>
      <c r="D179" s="54"/>
      <c r="E179" s="54"/>
      <c r="F179" s="57"/>
      <c r="G179" s="57"/>
      <c r="H179" s="57"/>
      <c r="I179" s="57"/>
      <c r="J179" s="54"/>
      <c r="K179" s="54"/>
    </row>
    <row r="180" spans="1:11" s="43" customFormat="1" hidden="1" x14ac:dyDescent="0.2">
      <c r="A180" s="54"/>
      <c r="B180" s="54"/>
      <c r="C180" s="54"/>
      <c r="D180" s="54"/>
      <c r="E180" s="54"/>
      <c r="F180" s="57"/>
      <c r="G180" s="57"/>
      <c r="H180" s="57"/>
      <c r="I180" s="57"/>
      <c r="J180" s="54"/>
      <c r="K180" s="54"/>
    </row>
    <row r="181" spans="1:11" s="43" customFormat="1" hidden="1" x14ac:dyDescent="0.2">
      <c r="A181" s="54"/>
      <c r="B181" s="54"/>
      <c r="C181" s="54"/>
      <c r="D181" s="54"/>
      <c r="E181" s="54"/>
      <c r="F181" s="57"/>
      <c r="G181" s="57"/>
      <c r="H181" s="57"/>
      <c r="I181" s="57"/>
      <c r="J181" s="54"/>
      <c r="K181" s="54"/>
    </row>
    <row r="182" spans="1:11" s="43" customFormat="1" hidden="1" x14ac:dyDescent="0.2">
      <c r="A182" s="54"/>
      <c r="B182" s="54"/>
      <c r="C182" s="54"/>
      <c r="D182" s="54"/>
      <c r="E182" s="54"/>
      <c r="F182" s="57"/>
      <c r="G182" s="57"/>
      <c r="H182" s="57"/>
      <c r="I182" s="57"/>
      <c r="J182" s="54"/>
      <c r="K182" s="54"/>
    </row>
    <row r="183" spans="1:11" s="43" customFormat="1" hidden="1" x14ac:dyDescent="0.2">
      <c r="A183" s="54"/>
      <c r="B183" s="54"/>
      <c r="C183" s="54"/>
      <c r="D183" s="54"/>
      <c r="E183" s="54"/>
      <c r="F183" s="57"/>
      <c r="G183" s="57"/>
      <c r="H183" s="57"/>
      <c r="I183" s="57"/>
      <c r="J183" s="54"/>
      <c r="K183" s="54"/>
    </row>
    <row r="184" spans="1:11" s="43" customFormat="1" hidden="1" x14ac:dyDescent="0.2">
      <c r="A184" s="54"/>
      <c r="B184" s="54"/>
      <c r="C184" s="54"/>
      <c r="D184" s="54"/>
      <c r="E184" s="54"/>
      <c r="F184" s="57"/>
      <c r="G184" s="57"/>
      <c r="H184" s="57"/>
      <c r="I184" s="57"/>
      <c r="J184" s="54"/>
      <c r="K184" s="54"/>
    </row>
    <row r="185" spans="1:11" s="43" customFormat="1" hidden="1" x14ac:dyDescent="0.2">
      <c r="A185" s="54"/>
      <c r="B185" s="54"/>
      <c r="C185" s="54"/>
      <c r="D185" s="54"/>
      <c r="E185" s="54"/>
      <c r="F185" s="57"/>
      <c r="G185" s="57"/>
      <c r="H185" s="57"/>
      <c r="I185" s="57"/>
      <c r="J185" s="54"/>
      <c r="K185" s="54"/>
    </row>
    <row r="186" spans="1:11" s="43" customFormat="1" hidden="1" x14ac:dyDescent="0.2">
      <c r="A186" s="54"/>
      <c r="B186" s="54"/>
      <c r="C186" s="54"/>
      <c r="D186" s="54"/>
      <c r="E186" s="54"/>
      <c r="F186" s="57"/>
      <c r="G186" s="57"/>
      <c r="H186" s="57"/>
      <c r="I186" s="57"/>
      <c r="J186" s="54"/>
      <c r="K186" s="54"/>
    </row>
    <row r="187" spans="1:11" s="43" customFormat="1" hidden="1" x14ac:dyDescent="0.2">
      <c r="A187" s="54"/>
      <c r="B187" s="54"/>
      <c r="C187" s="54"/>
      <c r="D187" s="54"/>
      <c r="E187" s="54"/>
      <c r="F187" s="57"/>
      <c r="G187" s="57"/>
      <c r="H187" s="57"/>
      <c r="I187" s="57"/>
      <c r="J187" s="54"/>
      <c r="K187" s="54"/>
    </row>
    <row r="188" spans="1:11" s="43" customFormat="1" hidden="1" x14ac:dyDescent="0.2">
      <c r="A188" s="54"/>
      <c r="B188" s="54"/>
      <c r="C188" s="54"/>
      <c r="D188" s="54"/>
      <c r="E188" s="54"/>
      <c r="F188" s="57"/>
      <c r="G188" s="57"/>
      <c r="H188" s="57"/>
      <c r="I188" s="57"/>
      <c r="J188" s="54"/>
      <c r="K188" s="54"/>
    </row>
    <row r="189" spans="1:11" s="43" customFormat="1" hidden="1" x14ac:dyDescent="0.2">
      <c r="A189" s="54"/>
      <c r="B189" s="54"/>
      <c r="C189" s="54"/>
      <c r="D189" s="54"/>
      <c r="E189" s="54"/>
      <c r="F189" s="57"/>
      <c r="G189" s="57"/>
      <c r="H189" s="57"/>
      <c r="I189" s="57"/>
      <c r="J189" s="54"/>
      <c r="K189" s="54"/>
    </row>
    <row r="190" spans="1:11" s="43" customFormat="1" hidden="1" x14ac:dyDescent="0.2">
      <c r="A190" s="54"/>
      <c r="B190" s="54"/>
      <c r="C190" s="54"/>
      <c r="D190" s="54"/>
      <c r="E190" s="54"/>
      <c r="F190" s="57"/>
      <c r="G190" s="57"/>
      <c r="H190" s="57"/>
      <c r="I190" s="57"/>
      <c r="J190" s="54"/>
      <c r="K190" s="54"/>
    </row>
    <row r="191" spans="1:11" s="43" customFormat="1" hidden="1" x14ac:dyDescent="0.2">
      <c r="A191" s="54"/>
      <c r="B191" s="54"/>
      <c r="C191" s="54"/>
      <c r="D191" s="54"/>
      <c r="E191" s="54"/>
      <c r="F191" s="57"/>
      <c r="G191" s="57"/>
      <c r="H191" s="57"/>
      <c r="I191" s="57"/>
      <c r="J191" s="54"/>
      <c r="K191" s="54"/>
    </row>
    <row r="192" spans="1:11" s="43" customFormat="1" hidden="1" x14ac:dyDescent="0.2">
      <c r="A192" s="54"/>
      <c r="B192" s="54"/>
      <c r="C192" s="54"/>
      <c r="D192" s="54"/>
      <c r="E192" s="54"/>
      <c r="F192" s="57"/>
      <c r="G192" s="57"/>
      <c r="H192" s="57"/>
      <c r="I192" s="57"/>
      <c r="J192" s="54"/>
      <c r="K192" s="54"/>
    </row>
    <row r="193" spans="1:11" s="43" customFormat="1" hidden="1" x14ac:dyDescent="0.2">
      <c r="A193" s="54"/>
      <c r="B193" s="54"/>
      <c r="C193" s="54"/>
      <c r="D193" s="54"/>
      <c r="E193" s="54"/>
      <c r="F193" s="57"/>
      <c r="G193" s="57"/>
      <c r="H193" s="57"/>
      <c r="I193" s="57"/>
      <c r="J193" s="54"/>
      <c r="K193" s="54"/>
    </row>
    <row r="194" spans="1:11" s="43" customFormat="1" hidden="1" x14ac:dyDescent="0.2">
      <c r="A194" s="54"/>
      <c r="B194" s="54"/>
      <c r="C194" s="54"/>
      <c r="D194" s="54"/>
      <c r="E194" s="54"/>
      <c r="F194" s="57"/>
      <c r="G194" s="57"/>
      <c r="H194" s="57"/>
      <c r="I194" s="57"/>
      <c r="J194" s="54"/>
      <c r="K194" s="54"/>
    </row>
    <row r="195" spans="1:11" s="43" customFormat="1" hidden="1" x14ac:dyDescent="0.2">
      <c r="A195" s="54"/>
      <c r="B195" s="54"/>
      <c r="C195" s="54"/>
      <c r="D195" s="54"/>
      <c r="E195" s="54"/>
      <c r="F195" s="57"/>
      <c r="G195" s="57"/>
      <c r="H195" s="57"/>
      <c r="I195" s="57"/>
      <c r="J195" s="54"/>
      <c r="K195" s="54"/>
    </row>
    <row r="196" spans="1:11" s="43" customFormat="1" hidden="1" x14ac:dyDescent="0.2">
      <c r="A196" s="54"/>
      <c r="B196" s="54"/>
      <c r="C196" s="54"/>
      <c r="D196" s="54"/>
      <c r="E196" s="54"/>
      <c r="F196" s="57"/>
      <c r="G196" s="57"/>
      <c r="H196" s="57"/>
      <c r="I196" s="57"/>
      <c r="J196" s="54"/>
      <c r="K196" s="54"/>
    </row>
    <row r="197" spans="1:11" s="43" customFormat="1" hidden="1" x14ac:dyDescent="0.2">
      <c r="A197" s="54"/>
      <c r="B197" s="54"/>
      <c r="C197" s="54"/>
      <c r="D197" s="54"/>
      <c r="E197" s="54"/>
      <c r="F197" s="57"/>
      <c r="G197" s="57"/>
      <c r="H197" s="57"/>
      <c r="I197" s="57"/>
      <c r="J197" s="54"/>
      <c r="K197" s="54"/>
    </row>
    <row r="198" spans="1:11" s="43" customFormat="1" hidden="1" x14ac:dyDescent="0.2">
      <c r="A198" s="54"/>
      <c r="B198" s="54"/>
      <c r="C198" s="54"/>
      <c r="D198" s="54"/>
      <c r="E198" s="54"/>
      <c r="F198" s="57"/>
      <c r="G198" s="57"/>
      <c r="H198" s="57"/>
      <c r="I198" s="57"/>
      <c r="J198" s="54"/>
      <c r="K198" s="54"/>
    </row>
    <row r="199" spans="1:11" s="43" customFormat="1" hidden="1" x14ac:dyDescent="0.2">
      <c r="A199" s="54"/>
      <c r="B199" s="54"/>
      <c r="C199" s="54"/>
      <c r="D199" s="54"/>
      <c r="E199" s="54"/>
      <c r="F199" s="57"/>
      <c r="G199" s="57"/>
      <c r="H199" s="57"/>
      <c r="I199" s="57"/>
      <c r="J199" s="54"/>
      <c r="K199" s="54"/>
    </row>
    <row r="200" spans="1:11" s="43" customFormat="1" hidden="1" x14ac:dyDescent="0.2">
      <c r="A200" s="54"/>
      <c r="B200" s="54"/>
      <c r="C200" s="54"/>
      <c r="D200" s="54"/>
      <c r="E200" s="54"/>
      <c r="F200" s="57"/>
      <c r="G200" s="57"/>
      <c r="H200" s="57"/>
      <c r="I200" s="57"/>
      <c r="J200" s="54"/>
      <c r="K200" s="54"/>
    </row>
    <row r="201" spans="1:11" s="43" customFormat="1" hidden="1" x14ac:dyDescent="0.2">
      <c r="A201" s="54"/>
      <c r="B201" s="54"/>
      <c r="C201" s="54"/>
      <c r="D201" s="54"/>
      <c r="E201" s="54"/>
      <c r="F201" s="57"/>
      <c r="G201" s="57"/>
      <c r="H201" s="57"/>
      <c r="I201" s="57"/>
      <c r="J201" s="54"/>
      <c r="K201" s="54"/>
    </row>
    <row r="202" spans="1:11" s="43" customFormat="1" hidden="1" x14ac:dyDescent="0.2">
      <c r="A202" s="54"/>
      <c r="B202" s="54"/>
      <c r="C202" s="54"/>
      <c r="D202" s="54"/>
      <c r="E202" s="54"/>
      <c r="F202" s="57"/>
      <c r="G202" s="57"/>
      <c r="H202" s="57"/>
      <c r="I202" s="57"/>
      <c r="J202" s="54"/>
      <c r="K202" s="54"/>
    </row>
    <row r="203" spans="1:11" s="43" customFormat="1" hidden="1" x14ac:dyDescent="0.2">
      <c r="A203" s="54"/>
      <c r="B203" s="54"/>
      <c r="C203" s="54"/>
      <c r="D203" s="54"/>
      <c r="E203" s="54"/>
      <c r="F203" s="57"/>
      <c r="G203" s="57"/>
      <c r="H203" s="57"/>
      <c r="I203" s="57"/>
      <c r="J203" s="54"/>
      <c r="K203" s="54"/>
    </row>
    <row r="204" spans="1:11" s="43" customFormat="1" hidden="1" x14ac:dyDescent="0.2">
      <c r="A204" s="54"/>
      <c r="B204" s="54"/>
      <c r="C204" s="54"/>
      <c r="D204" s="54"/>
      <c r="E204" s="54"/>
      <c r="F204" s="57"/>
      <c r="G204" s="57"/>
      <c r="H204" s="57"/>
      <c r="I204" s="57"/>
      <c r="J204" s="54"/>
      <c r="K204" s="54"/>
    </row>
    <row r="205" spans="1:11" s="43" customFormat="1" hidden="1" x14ac:dyDescent="0.2">
      <c r="A205" s="54"/>
      <c r="B205" s="54"/>
      <c r="C205" s="54"/>
      <c r="D205" s="54"/>
      <c r="E205" s="54"/>
      <c r="F205" s="57"/>
      <c r="G205" s="57"/>
      <c r="H205" s="57"/>
      <c r="I205" s="57"/>
      <c r="J205" s="54"/>
      <c r="K205" s="54"/>
    </row>
    <row r="206" spans="1:11" s="43" customFormat="1" hidden="1" x14ac:dyDescent="0.2">
      <c r="A206" s="54"/>
      <c r="B206" s="54"/>
      <c r="C206" s="54"/>
      <c r="D206" s="54"/>
      <c r="E206" s="54"/>
      <c r="F206" s="57"/>
      <c r="G206" s="57"/>
      <c r="H206" s="57"/>
      <c r="I206" s="57"/>
      <c r="J206" s="54"/>
      <c r="K206" s="54"/>
    </row>
    <row r="207" spans="1:11" s="43" customFormat="1" hidden="1" x14ac:dyDescent="0.2">
      <c r="A207" s="54"/>
      <c r="B207" s="54"/>
      <c r="C207" s="54"/>
      <c r="D207" s="54"/>
      <c r="E207" s="54"/>
      <c r="F207" s="57"/>
      <c r="G207" s="57"/>
      <c r="H207" s="57"/>
      <c r="I207" s="57"/>
      <c r="J207" s="54"/>
      <c r="K207" s="54"/>
    </row>
    <row r="208" spans="1:11" s="43" customFormat="1" hidden="1" x14ac:dyDescent="0.2">
      <c r="A208" s="54"/>
      <c r="B208" s="54"/>
      <c r="C208" s="54"/>
      <c r="D208" s="54"/>
      <c r="E208" s="54"/>
      <c r="F208" s="57"/>
      <c r="G208" s="57"/>
      <c r="H208" s="57"/>
      <c r="I208" s="57"/>
      <c r="J208" s="54"/>
      <c r="K208" s="54"/>
    </row>
    <row r="209" spans="1:11" s="43" customFormat="1" hidden="1" x14ac:dyDescent="0.2">
      <c r="A209" s="54"/>
      <c r="B209" s="54"/>
      <c r="C209" s="54"/>
      <c r="D209" s="54"/>
      <c r="E209" s="54"/>
      <c r="F209" s="57"/>
      <c r="G209" s="57"/>
      <c r="H209" s="57"/>
      <c r="I209" s="57"/>
      <c r="J209" s="54"/>
      <c r="K209" s="54"/>
    </row>
    <row r="210" spans="1:11" s="43" customFormat="1" hidden="1" x14ac:dyDescent="0.2">
      <c r="A210" s="54"/>
      <c r="B210" s="54"/>
      <c r="C210" s="54"/>
      <c r="D210" s="54"/>
      <c r="E210" s="54"/>
      <c r="F210" s="57"/>
      <c r="G210" s="57"/>
      <c r="H210" s="57"/>
      <c r="I210" s="57"/>
      <c r="J210" s="54"/>
      <c r="K210" s="54"/>
    </row>
    <row r="211" spans="1:11" s="43" customFormat="1" hidden="1" x14ac:dyDescent="0.2">
      <c r="A211" s="54"/>
      <c r="B211" s="54"/>
      <c r="C211" s="54"/>
      <c r="D211" s="54"/>
      <c r="E211" s="54"/>
      <c r="F211" s="57"/>
      <c r="G211" s="57"/>
      <c r="H211" s="57"/>
      <c r="I211" s="57"/>
      <c r="J211" s="54"/>
      <c r="K211" s="54"/>
    </row>
    <row r="212" spans="1:11" s="43" customFormat="1" hidden="1" x14ac:dyDescent="0.2">
      <c r="A212" s="54"/>
      <c r="B212" s="54"/>
      <c r="C212" s="54"/>
      <c r="D212" s="54"/>
      <c r="E212" s="54"/>
      <c r="F212" s="57"/>
      <c r="G212" s="57"/>
      <c r="H212" s="57"/>
      <c r="I212" s="57"/>
      <c r="J212" s="54"/>
      <c r="K212" s="54"/>
    </row>
    <row r="213" spans="1:11" s="43" customFormat="1" hidden="1" x14ac:dyDescent="0.2">
      <c r="A213" s="54"/>
      <c r="B213" s="54"/>
      <c r="C213" s="54"/>
      <c r="D213" s="54"/>
      <c r="E213" s="54"/>
      <c r="F213" s="57"/>
      <c r="G213" s="57"/>
      <c r="H213" s="57"/>
      <c r="I213" s="57"/>
      <c r="J213" s="54"/>
      <c r="K213" s="54"/>
    </row>
    <row r="214" spans="1:11" s="43" customFormat="1" hidden="1" x14ac:dyDescent="0.2">
      <c r="A214" s="54"/>
      <c r="B214" s="54"/>
      <c r="C214" s="54"/>
      <c r="D214" s="54"/>
      <c r="E214" s="54"/>
      <c r="F214" s="57"/>
      <c r="G214" s="57"/>
      <c r="H214" s="57"/>
      <c r="I214" s="57"/>
      <c r="J214" s="54"/>
      <c r="K214" s="54"/>
    </row>
    <row r="215" spans="1:11" s="43" customFormat="1" hidden="1" x14ac:dyDescent="0.2">
      <c r="A215" s="54"/>
      <c r="B215" s="54"/>
      <c r="C215" s="54"/>
      <c r="D215" s="54"/>
      <c r="E215" s="54"/>
      <c r="F215" s="57"/>
      <c r="G215" s="57"/>
      <c r="H215" s="57"/>
      <c r="I215" s="57"/>
      <c r="J215" s="54"/>
      <c r="K215" s="54"/>
    </row>
    <row r="216" spans="1:11" s="43" customFormat="1" hidden="1" x14ac:dyDescent="0.2">
      <c r="A216" s="54"/>
      <c r="B216" s="54"/>
      <c r="C216" s="54"/>
      <c r="D216" s="54"/>
      <c r="E216" s="54"/>
      <c r="F216" s="57"/>
      <c r="G216" s="57"/>
      <c r="H216" s="57"/>
      <c r="I216" s="57"/>
      <c r="J216" s="54"/>
      <c r="K216" s="54"/>
    </row>
    <row r="217" spans="1:11" s="43" customFormat="1" hidden="1" x14ac:dyDescent="0.2">
      <c r="A217" s="54"/>
      <c r="B217" s="54"/>
      <c r="C217" s="54"/>
      <c r="D217" s="54"/>
      <c r="E217" s="54"/>
      <c r="F217" s="57"/>
      <c r="G217" s="57"/>
      <c r="H217" s="57"/>
      <c r="I217" s="57"/>
      <c r="J217" s="54"/>
      <c r="K217" s="54"/>
    </row>
    <row r="218" spans="1:11" s="43" customFormat="1" hidden="1" x14ac:dyDescent="0.2">
      <c r="A218" s="54"/>
      <c r="B218" s="54"/>
      <c r="C218" s="54"/>
      <c r="D218" s="54"/>
      <c r="E218" s="54"/>
      <c r="F218" s="57"/>
      <c r="G218" s="57"/>
      <c r="H218" s="57"/>
      <c r="I218" s="57"/>
      <c r="J218" s="54"/>
      <c r="K218" s="54"/>
    </row>
    <row r="219" spans="1:11" s="43" customFormat="1" hidden="1" x14ac:dyDescent="0.2">
      <c r="A219" s="54"/>
      <c r="B219" s="54"/>
      <c r="C219" s="54"/>
      <c r="D219" s="54"/>
      <c r="E219" s="54"/>
      <c r="F219" s="57"/>
      <c r="G219" s="57"/>
      <c r="H219" s="57"/>
      <c r="I219" s="57"/>
      <c r="J219" s="54"/>
      <c r="K219" s="54"/>
    </row>
    <row r="220" spans="1:11" s="43" customFormat="1" hidden="1" x14ac:dyDescent="0.2">
      <c r="A220" s="54"/>
      <c r="B220" s="54"/>
      <c r="C220" s="54"/>
      <c r="D220" s="54"/>
      <c r="E220" s="54"/>
      <c r="F220" s="57"/>
      <c r="G220" s="57"/>
      <c r="H220" s="57"/>
      <c r="I220" s="57"/>
      <c r="J220" s="54"/>
      <c r="K220" s="54"/>
    </row>
    <row r="221" spans="1:11" s="43" customFormat="1" hidden="1" x14ac:dyDescent="0.2">
      <c r="A221" s="54"/>
      <c r="B221" s="54"/>
      <c r="C221" s="54"/>
      <c r="D221" s="54"/>
      <c r="E221" s="54"/>
      <c r="F221" s="57"/>
      <c r="G221" s="57"/>
      <c r="H221" s="57"/>
      <c r="I221" s="57"/>
      <c r="J221" s="54"/>
      <c r="K221" s="54"/>
    </row>
    <row r="222" spans="1:11" s="43" customFormat="1" hidden="1" x14ac:dyDescent="0.2">
      <c r="A222" s="54"/>
      <c r="B222" s="54"/>
      <c r="C222" s="54"/>
      <c r="D222" s="54"/>
      <c r="E222" s="54"/>
      <c r="F222" s="57"/>
      <c r="G222" s="57"/>
      <c r="H222" s="57"/>
      <c r="I222" s="57"/>
      <c r="J222" s="54"/>
      <c r="K222" s="54"/>
    </row>
    <row r="223" spans="1:11" s="43" customFormat="1" hidden="1" x14ac:dyDescent="0.2">
      <c r="A223" s="54"/>
      <c r="B223" s="54"/>
      <c r="C223" s="54"/>
      <c r="D223" s="54"/>
      <c r="E223" s="54"/>
      <c r="F223" s="57"/>
      <c r="G223" s="57"/>
      <c r="H223" s="57"/>
      <c r="I223" s="57"/>
      <c r="J223" s="54"/>
      <c r="K223" s="54"/>
    </row>
    <row r="224" spans="1:11" s="43" customFormat="1" hidden="1" x14ac:dyDescent="0.2">
      <c r="A224" s="54"/>
      <c r="B224" s="54"/>
      <c r="C224" s="54"/>
      <c r="D224" s="54"/>
      <c r="E224" s="54"/>
      <c r="F224" s="57"/>
      <c r="G224" s="57"/>
      <c r="H224" s="57"/>
      <c r="I224" s="57"/>
      <c r="J224" s="54"/>
      <c r="K224" s="54"/>
    </row>
    <row r="225" spans="1:11" s="43" customFormat="1" hidden="1" x14ac:dyDescent="0.2">
      <c r="A225" s="54"/>
      <c r="B225" s="54"/>
      <c r="C225" s="54"/>
      <c r="D225" s="54"/>
      <c r="E225" s="54"/>
      <c r="F225" s="57"/>
      <c r="G225" s="57"/>
      <c r="H225" s="57"/>
      <c r="I225" s="57"/>
      <c r="J225" s="54"/>
      <c r="K225" s="54"/>
    </row>
    <row r="226" spans="1:11" s="43" customFormat="1" hidden="1" x14ac:dyDescent="0.2">
      <c r="A226" s="54"/>
      <c r="B226" s="54"/>
      <c r="C226" s="54"/>
      <c r="D226" s="54"/>
      <c r="E226" s="54"/>
      <c r="F226" s="57"/>
      <c r="G226" s="57"/>
      <c r="H226" s="57"/>
      <c r="I226" s="57"/>
      <c r="J226" s="54"/>
      <c r="K226" s="54"/>
    </row>
    <row r="227" spans="1:11" s="43" customFormat="1" hidden="1" x14ac:dyDescent="0.2">
      <c r="A227" s="54"/>
      <c r="B227" s="54"/>
      <c r="C227" s="54"/>
      <c r="D227" s="54"/>
      <c r="E227" s="54"/>
      <c r="F227" s="57"/>
      <c r="G227" s="57"/>
      <c r="H227" s="57"/>
      <c r="I227" s="57"/>
      <c r="J227" s="54"/>
      <c r="K227" s="54"/>
    </row>
    <row r="228" spans="1:11" s="43" customFormat="1" hidden="1" x14ac:dyDescent="0.2">
      <c r="A228" s="54"/>
      <c r="B228" s="54"/>
      <c r="C228" s="54"/>
      <c r="D228" s="54"/>
      <c r="E228" s="54"/>
      <c r="F228" s="57"/>
      <c r="G228" s="57"/>
      <c r="H228" s="57"/>
      <c r="I228" s="57"/>
      <c r="J228" s="54"/>
      <c r="K228" s="54"/>
    </row>
    <row r="229" spans="1:11" s="43" customFormat="1" hidden="1" x14ac:dyDescent="0.2">
      <c r="A229" s="54"/>
      <c r="B229" s="54"/>
      <c r="C229" s="54"/>
      <c r="D229" s="54"/>
      <c r="E229" s="54"/>
      <c r="F229" s="57"/>
      <c r="G229" s="57"/>
      <c r="H229" s="57"/>
      <c r="I229" s="57"/>
      <c r="J229" s="54"/>
      <c r="K229" s="54"/>
    </row>
    <row r="230" spans="1:11" s="43" customFormat="1" hidden="1" x14ac:dyDescent="0.2">
      <c r="A230" s="54"/>
      <c r="B230" s="54"/>
      <c r="C230" s="54"/>
      <c r="D230" s="54"/>
      <c r="E230" s="54"/>
      <c r="F230" s="57"/>
      <c r="G230" s="57"/>
      <c r="H230" s="57"/>
      <c r="I230" s="57"/>
      <c r="J230" s="54"/>
      <c r="K230" s="54"/>
    </row>
    <row r="231" spans="1:11" s="43" customFormat="1" hidden="1" x14ac:dyDescent="0.2">
      <c r="A231" s="54"/>
      <c r="B231" s="54"/>
      <c r="C231" s="54"/>
      <c r="D231" s="54"/>
      <c r="E231" s="54"/>
      <c r="F231" s="57"/>
      <c r="G231" s="57"/>
      <c r="H231" s="57"/>
      <c r="I231" s="57"/>
      <c r="J231" s="54"/>
      <c r="K231" s="54"/>
    </row>
    <row r="232" spans="1:11" s="43" customFormat="1" hidden="1" x14ac:dyDescent="0.2">
      <c r="A232" s="54"/>
      <c r="B232" s="54"/>
      <c r="C232" s="54"/>
      <c r="D232" s="54"/>
      <c r="E232" s="54"/>
      <c r="F232" s="57"/>
      <c r="G232" s="57"/>
      <c r="H232" s="57"/>
      <c r="I232" s="57"/>
      <c r="J232" s="54"/>
      <c r="K232" s="54"/>
    </row>
    <row r="233" spans="1:11" s="43" customFormat="1" hidden="1" x14ac:dyDescent="0.2">
      <c r="A233" s="54"/>
      <c r="B233" s="54"/>
      <c r="C233" s="54"/>
      <c r="D233" s="54"/>
      <c r="E233" s="54"/>
      <c r="F233" s="57"/>
      <c r="G233" s="57"/>
      <c r="H233" s="57"/>
      <c r="I233" s="57"/>
      <c r="J233" s="54"/>
      <c r="K233" s="54"/>
    </row>
    <row r="234" spans="1:11" s="43" customFormat="1" hidden="1" x14ac:dyDescent="0.2">
      <c r="A234" s="54"/>
      <c r="B234" s="54"/>
      <c r="C234" s="54"/>
      <c r="D234" s="54"/>
      <c r="E234" s="54"/>
      <c r="F234" s="57"/>
      <c r="G234" s="57"/>
      <c r="H234" s="57"/>
      <c r="I234" s="57"/>
      <c r="J234" s="54"/>
      <c r="K234" s="54"/>
    </row>
    <row r="235" spans="1:11" s="43" customFormat="1" hidden="1" x14ac:dyDescent="0.2">
      <c r="A235" s="54"/>
      <c r="B235" s="54"/>
      <c r="C235" s="54"/>
      <c r="D235" s="54"/>
      <c r="E235" s="54"/>
      <c r="F235" s="57"/>
      <c r="G235" s="57"/>
      <c r="H235" s="57"/>
      <c r="I235" s="57"/>
      <c r="J235" s="54"/>
      <c r="K235" s="54"/>
    </row>
    <row r="236" spans="1:11" s="43" customFormat="1" hidden="1" x14ac:dyDescent="0.2">
      <c r="A236" s="54"/>
      <c r="B236" s="54"/>
      <c r="C236" s="54"/>
      <c r="D236" s="54"/>
      <c r="E236" s="54"/>
      <c r="F236" s="57"/>
      <c r="G236" s="57"/>
      <c r="H236" s="57"/>
      <c r="I236" s="57"/>
      <c r="J236" s="54"/>
      <c r="K236" s="54"/>
    </row>
    <row r="237" spans="1:11" s="43" customFormat="1" hidden="1" x14ac:dyDescent="0.2">
      <c r="A237" s="54"/>
      <c r="B237" s="54"/>
      <c r="C237" s="54"/>
      <c r="D237" s="54"/>
      <c r="E237" s="54"/>
      <c r="F237" s="57"/>
      <c r="G237" s="57"/>
      <c r="H237" s="57"/>
      <c r="I237" s="57"/>
      <c r="J237" s="54"/>
      <c r="K237" s="54"/>
    </row>
    <row r="238" spans="1:11" s="43" customFormat="1" hidden="1" x14ac:dyDescent="0.2">
      <c r="A238" s="54"/>
      <c r="B238" s="54"/>
      <c r="C238" s="54"/>
      <c r="D238" s="54"/>
      <c r="E238" s="54"/>
      <c r="F238" s="57"/>
      <c r="G238" s="57"/>
      <c r="H238" s="57"/>
      <c r="I238" s="57"/>
      <c r="J238" s="54"/>
      <c r="K238" s="54"/>
    </row>
    <row r="239" spans="1:11" s="43" customFormat="1" hidden="1" x14ac:dyDescent="0.2">
      <c r="A239" s="54"/>
      <c r="B239" s="54"/>
      <c r="C239" s="54"/>
      <c r="D239" s="54"/>
      <c r="E239" s="54"/>
      <c r="F239" s="57"/>
      <c r="G239" s="57"/>
      <c r="H239" s="57"/>
      <c r="I239" s="57"/>
      <c r="J239" s="54"/>
      <c r="K239" s="54"/>
    </row>
    <row r="240" spans="1:11" s="43" customFormat="1" hidden="1" x14ac:dyDescent="0.2">
      <c r="A240" s="54"/>
      <c r="B240" s="54"/>
      <c r="C240" s="54"/>
      <c r="D240" s="54"/>
      <c r="E240" s="54"/>
      <c r="F240" s="57"/>
      <c r="G240" s="57"/>
      <c r="H240" s="57"/>
      <c r="I240" s="57"/>
      <c r="J240" s="54"/>
      <c r="K240" s="54"/>
    </row>
    <row r="241" spans="1:11" s="43" customFormat="1" hidden="1" x14ac:dyDescent="0.2">
      <c r="A241" s="54"/>
      <c r="B241" s="54"/>
      <c r="C241" s="54"/>
      <c r="D241" s="54"/>
      <c r="E241" s="54"/>
      <c r="F241" s="57"/>
      <c r="G241" s="57"/>
      <c r="H241" s="57"/>
      <c r="I241" s="57"/>
      <c r="J241" s="54"/>
      <c r="K241" s="54"/>
    </row>
    <row r="242" spans="1:11" s="43" customFormat="1" hidden="1" x14ac:dyDescent="0.2">
      <c r="A242" s="54"/>
      <c r="B242" s="54"/>
      <c r="C242" s="54"/>
      <c r="D242" s="54"/>
      <c r="E242" s="54"/>
      <c r="F242" s="57"/>
      <c r="G242" s="57"/>
      <c r="H242" s="57"/>
      <c r="I242" s="57"/>
      <c r="J242" s="54"/>
      <c r="K242" s="54"/>
    </row>
    <row r="243" spans="1:11" s="43" customFormat="1" hidden="1" x14ac:dyDescent="0.2">
      <c r="A243" s="54"/>
      <c r="B243" s="54"/>
      <c r="C243" s="54"/>
      <c r="D243" s="54"/>
      <c r="E243" s="54"/>
      <c r="F243" s="57"/>
      <c r="G243" s="57"/>
      <c r="H243" s="57"/>
      <c r="I243" s="57"/>
      <c r="J243" s="54"/>
      <c r="K243" s="54"/>
    </row>
    <row r="244" spans="1:11" s="43" customFormat="1" hidden="1" x14ac:dyDescent="0.2">
      <c r="A244" s="54"/>
      <c r="B244" s="54"/>
      <c r="C244" s="54"/>
      <c r="D244" s="54"/>
      <c r="E244" s="54"/>
      <c r="F244" s="57"/>
      <c r="G244" s="57"/>
      <c r="H244" s="57"/>
      <c r="I244" s="57"/>
      <c r="J244" s="54"/>
      <c r="K244" s="54"/>
    </row>
    <row r="245" spans="1:11" s="43" customFormat="1" hidden="1" x14ac:dyDescent="0.2">
      <c r="A245" s="54"/>
      <c r="B245" s="54"/>
      <c r="C245" s="54"/>
      <c r="D245" s="54"/>
      <c r="E245" s="54"/>
      <c r="F245" s="57"/>
      <c r="G245" s="57"/>
      <c r="H245" s="57"/>
      <c r="I245" s="57"/>
      <c r="J245" s="54"/>
      <c r="K245" s="54"/>
    </row>
    <row r="246" spans="1:11" s="43" customFormat="1" hidden="1" x14ac:dyDescent="0.2">
      <c r="A246" s="54"/>
      <c r="B246" s="54"/>
      <c r="C246" s="54"/>
      <c r="D246" s="54"/>
      <c r="E246" s="54"/>
      <c r="F246" s="57"/>
      <c r="G246" s="57"/>
      <c r="H246" s="57"/>
      <c r="I246" s="57"/>
      <c r="J246" s="54"/>
      <c r="K246" s="54"/>
    </row>
    <row r="247" spans="1:11" s="43" customFormat="1" hidden="1" x14ac:dyDescent="0.2">
      <c r="A247" s="54"/>
      <c r="B247" s="54"/>
      <c r="C247" s="54"/>
      <c r="D247" s="54"/>
      <c r="E247" s="54"/>
      <c r="F247" s="57"/>
      <c r="G247" s="57"/>
      <c r="H247" s="57"/>
      <c r="I247" s="57"/>
      <c r="J247" s="54"/>
      <c r="K247" s="54"/>
    </row>
    <row r="248" spans="1:11" s="43" customFormat="1" hidden="1" x14ac:dyDescent="0.2">
      <c r="A248" s="54"/>
      <c r="B248" s="54"/>
      <c r="C248" s="54"/>
      <c r="D248" s="54"/>
      <c r="E248" s="54"/>
      <c r="F248" s="57"/>
      <c r="G248" s="57"/>
      <c r="H248" s="57"/>
      <c r="I248" s="57"/>
      <c r="J248" s="54"/>
      <c r="K248" s="54"/>
    </row>
    <row r="249" spans="1:11" s="43" customFormat="1" hidden="1" x14ac:dyDescent="0.2">
      <c r="A249" s="54"/>
      <c r="B249" s="54"/>
      <c r="C249" s="54"/>
      <c r="D249" s="54"/>
      <c r="E249" s="54"/>
      <c r="F249" s="57"/>
      <c r="G249" s="57"/>
      <c r="H249" s="57"/>
      <c r="I249" s="57"/>
      <c r="J249" s="54"/>
      <c r="K249" s="54"/>
    </row>
    <row r="250" spans="1:11" s="43" customFormat="1" hidden="1" x14ac:dyDescent="0.2">
      <c r="A250" s="54"/>
      <c r="B250" s="54"/>
      <c r="C250" s="54"/>
      <c r="D250" s="54"/>
      <c r="E250" s="54"/>
      <c r="F250" s="57"/>
      <c r="G250" s="57"/>
      <c r="H250" s="57"/>
      <c r="I250" s="57"/>
      <c r="J250" s="54"/>
      <c r="K250" s="54"/>
    </row>
    <row r="251" spans="1:11" s="43" customFormat="1" hidden="1" x14ac:dyDescent="0.2">
      <c r="A251" s="54"/>
      <c r="B251" s="54"/>
      <c r="C251" s="54"/>
      <c r="D251" s="54"/>
      <c r="E251" s="54"/>
      <c r="F251" s="57"/>
      <c r="G251" s="57"/>
      <c r="H251" s="57"/>
      <c r="I251" s="57"/>
      <c r="J251" s="54"/>
      <c r="K251" s="54"/>
    </row>
    <row r="252" spans="1:11" s="43" customFormat="1" hidden="1" x14ac:dyDescent="0.2">
      <c r="A252" s="54"/>
      <c r="B252" s="54"/>
      <c r="C252" s="54"/>
      <c r="D252" s="54"/>
      <c r="E252" s="54"/>
      <c r="F252" s="57"/>
      <c r="G252" s="57"/>
      <c r="H252" s="57"/>
      <c r="I252" s="57"/>
      <c r="J252" s="54"/>
      <c r="K252" s="54"/>
    </row>
    <row r="253" spans="1:11" s="43" customFormat="1" hidden="1" x14ac:dyDescent="0.2">
      <c r="A253" s="54"/>
      <c r="B253" s="54"/>
      <c r="C253" s="54"/>
      <c r="D253" s="54"/>
      <c r="E253" s="54"/>
      <c r="F253" s="57"/>
      <c r="G253" s="57"/>
      <c r="H253" s="57"/>
      <c r="I253" s="57"/>
      <c r="J253" s="54"/>
      <c r="K253" s="54"/>
    </row>
    <row r="254" spans="1:11" s="43" customFormat="1" hidden="1" x14ac:dyDescent="0.2">
      <c r="A254" s="54"/>
      <c r="B254" s="54"/>
      <c r="C254" s="54"/>
      <c r="D254" s="54"/>
      <c r="E254" s="54"/>
      <c r="F254" s="57"/>
      <c r="G254" s="57"/>
      <c r="H254" s="57"/>
      <c r="I254" s="57"/>
      <c r="J254" s="54"/>
      <c r="K254" s="54"/>
    </row>
    <row r="255" spans="1:11" s="43" customFormat="1" hidden="1" x14ac:dyDescent="0.2">
      <c r="A255" s="54"/>
      <c r="B255" s="54"/>
      <c r="C255" s="54"/>
      <c r="D255" s="54"/>
      <c r="E255" s="54"/>
      <c r="F255" s="57"/>
      <c r="G255" s="57"/>
      <c r="H255" s="57"/>
      <c r="I255" s="57"/>
      <c r="J255" s="54"/>
      <c r="K255" s="54"/>
    </row>
    <row r="256" spans="1:11" s="43" customFormat="1" hidden="1" x14ac:dyDescent="0.2">
      <c r="A256" s="54"/>
      <c r="B256" s="54"/>
      <c r="C256" s="54"/>
      <c r="D256" s="54"/>
      <c r="E256" s="54"/>
      <c r="F256" s="57"/>
      <c r="G256" s="57"/>
      <c r="H256" s="57"/>
      <c r="I256" s="57"/>
      <c r="J256" s="54"/>
      <c r="K256" s="54"/>
    </row>
    <row r="257" spans="1:11" s="43" customFormat="1" hidden="1" x14ac:dyDescent="0.2">
      <c r="A257" s="54"/>
      <c r="B257" s="54"/>
      <c r="C257" s="54"/>
      <c r="D257" s="54"/>
      <c r="E257" s="54"/>
      <c r="F257" s="57"/>
      <c r="G257" s="57"/>
      <c r="H257" s="57"/>
      <c r="I257" s="57"/>
      <c r="J257" s="54"/>
      <c r="K257" s="54"/>
    </row>
    <row r="258" spans="1:11" s="43" customFormat="1" hidden="1" x14ac:dyDescent="0.2">
      <c r="A258" s="54"/>
      <c r="B258" s="54"/>
      <c r="C258" s="54"/>
      <c r="D258" s="54"/>
      <c r="E258" s="54"/>
      <c r="F258" s="57"/>
      <c r="G258" s="57"/>
      <c r="H258" s="57"/>
      <c r="I258" s="57"/>
      <c r="J258" s="54"/>
      <c r="K258" s="54"/>
    </row>
    <row r="259" spans="1:11" s="43" customFormat="1" hidden="1" x14ac:dyDescent="0.2">
      <c r="A259" s="54"/>
      <c r="B259" s="54"/>
      <c r="C259" s="54"/>
      <c r="D259" s="54"/>
      <c r="E259" s="54"/>
      <c r="F259" s="57"/>
      <c r="G259" s="57"/>
      <c r="H259" s="57"/>
      <c r="I259" s="57"/>
      <c r="J259" s="54"/>
      <c r="K259" s="54"/>
    </row>
    <row r="260" spans="1:11" s="43" customFormat="1" hidden="1" x14ac:dyDescent="0.2">
      <c r="A260" s="54"/>
      <c r="B260" s="54"/>
      <c r="C260" s="54"/>
      <c r="D260" s="54"/>
      <c r="E260" s="54"/>
      <c r="F260" s="57"/>
      <c r="G260" s="57"/>
      <c r="H260" s="57"/>
      <c r="I260" s="57"/>
      <c r="J260" s="54"/>
      <c r="K260" s="54"/>
    </row>
    <row r="261" spans="1:11" s="43" customFormat="1" hidden="1" x14ac:dyDescent="0.2">
      <c r="A261" s="54"/>
      <c r="B261" s="54"/>
      <c r="C261" s="54"/>
      <c r="D261" s="54"/>
      <c r="E261" s="54"/>
      <c r="F261" s="57"/>
      <c r="G261" s="57"/>
      <c r="H261" s="57"/>
      <c r="I261" s="57"/>
      <c r="J261" s="54"/>
      <c r="K261" s="54"/>
    </row>
    <row r="262" spans="1:11" s="43" customFormat="1" hidden="1" x14ac:dyDescent="0.2">
      <c r="A262" s="54"/>
      <c r="B262" s="54"/>
      <c r="C262" s="54"/>
      <c r="D262" s="54"/>
      <c r="E262" s="54"/>
      <c r="F262" s="57"/>
      <c r="G262" s="57"/>
      <c r="H262" s="57"/>
      <c r="I262" s="57"/>
      <c r="J262" s="54"/>
      <c r="K262" s="54"/>
    </row>
    <row r="263" spans="1:11" s="43" customFormat="1" hidden="1" x14ac:dyDescent="0.2">
      <c r="A263" s="54"/>
      <c r="B263" s="54"/>
      <c r="C263" s="54"/>
      <c r="D263" s="54"/>
      <c r="E263" s="54"/>
      <c r="F263" s="57"/>
      <c r="G263" s="57"/>
      <c r="H263" s="57"/>
      <c r="I263" s="57"/>
      <c r="J263" s="54"/>
      <c r="K263" s="54"/>
    </row>
    <row r="264" spans="1:11" s="43" customFormat="1" hidden="1" x14ac:dyDescent="0.2">
      <c r="A264" s="54"/>
      <c r="B264" s="54"/>
      <c r="C264" s="54"/>
      <c r="D264" s="54"/>
      <c r="E264" s="54"/>
      <c r="F264" s="57"/>
      <c r="G264" s="57"/>
      <c r="H264" s="57"/>
      <c r="I264" s="57"/>
      <c r="J264" s="54"/>
      <c r="K264" s="54"/>
    </row>
    <row r="265" spans="1:11" s="43" customFormat="1" hidden="1" x14ac:dyDescent="0.2">
      <c r="A265" s="54"/>
      <c r="B265" s="54"/>
      <c r="C265" s="54"/>
      <c r="D265" s="54"/>
      <c r="E265" s="54"/>
      <c r="F265" s="57"/>
      <c r="G265" s="57"/>
      <c r="H265" s="57"/>
      <c r="I265" s="57"/>
      <c r="J265" s="54"/>
      <c r="K265" s="54"/>
    </row>
    <row r="266" spans="1:11" s="43" customFormat="1" hidden="1" x14ac:dyDescent="0.2">
      <c r="A266" s="54"/>
      <c r="B266" s="54"/>
      <c r="C266" s="54"/>
      <c r="D266" s="54"/>
      <c r="E266" s="54"/>
      <c r="F266" s="57"/>
      <c r="G266" s="57"/>
      <c r="H266" s="57"/>
      <c r="I266" s="57"/>
      <c r="J266" s="54"/>
      <c r="K266" s="54"/>
    </row>
    <row r="267" spans="1:11" s="43" customFormat="1" hidden="1" x14ac:dyDescent="0.2">
      <c r="A267" s="54"/>
      <c r="B267" s="54"/>
      <c r="C267" s="54"/>
      <c r="D267" s="54"/>
      <c r="E267" s="54"/>
      <c r="F267" s="57"/>
      <c r="G267" s="57"/>
      <c r="H267" s="57"/>
      <c r="I267" s="57"/>
      <c r="J267" s="54"/>
      <c r="K267" s="54"/>
    </row>
    <row r="268" spans="1:11" s="43" customFormat="1" hidden="1" x14ac:dyDescent="0.2">
      <c r="A268" s="54"/>
      <c r="B268" s="54"/>
      <c r="C268" s="54"/>
      <c r="D268" s="54"/>
      <c r="E268" s="54"/>
      <c r="F268" s="57"/>
      <c r="G268" s="57"/>
      <c r="H268" s="57"/>
      <c r="I268" s="57"/>
      <c r="J268" s="54"/>
      <c r="K268" s="54"/>
    </row>
    <row r="269" spans="1:11" s="43" customFormat="1" hidden="1" x14ac:dyDescent="0.2">
      <c r="A269" s="54"/>
      <c r="B269" s="54"/>
      <c r="C269" s="54"/>
      <c r="D269" s="54"/>
      <c r="E269" s="54"/>
      <c r="F269" s="57"/>
      <c r="G269" s="57"/>
      <c r="H269" s="57"/>
      <c r="I269" s="57"/>
      <c r="J269" s="54"/>
      <c r="K269" s="54"/>
    </row>
    <row r="270" spans="1:11" s="43" customFormat="1" hidden="1" x14ac:dyDescent="0.2">
      <c r="A270" s="54"/>
      <c r="B270" s="54"/>
      <c r="C270" s="54"/>
      <c r="D270" s="54"/>
      <c r="E270" s="54"/>
      <c r="F270" s="57"/>
      <c r="G270" s="57"/>
      <c r="H270" s="57"/>
      <c r="I270" s="57"/>
      <c r="J270" s="54"/>
      <c r="K270" s="54"/>
    </row>
    <row r="271" spans="1:11" s="43" customFormat="1" hidden="1" x14ac:dyDescent="0.2">
      <c r="A271" s="54"/>
      <c r="B271" s="54"/>
      <c r="C271" s="54"/>
      <c r="D271" s="54"/>
      <c r="E271" s="54"/>
      <c r="F271" s="57"/>
      <c r="G271" s="57"/>
      <c r="H271" s="57"/>
      <c r="I271" s="57"/>
      <c r="J271" s="54"/>
      <c r="K271" s="54"/>
    </row>
    <row r="272" spans="1:11" s="43" customFormat="1" hidden="1" x14ac:dyDescent="0.2">
      <c r="A272" s="54"/>
      <c r="B272" s="54"/>
      <c r="C272" s="54"/>
      <c r="D272" s="54"/>
      <c r="E272" s="54"/>
      <c r="F272" s="57"/>
      <c r="G272" s="57"/>
      <c r="H272" s="57"/>
      <c r="I272" s="57"/>
      <c r="J272" s="54"/>
      <c r="K272" s="54"/>
    </row>
    <row r="273" spans="1:11" s="43" customFormat="1" hidden="1" x14ac:dyDescent="0.2">
      <c r="A273" s="54"/>
      <c r="B273" s="54"/>
      <c r="C273" s="54"/>
      <c r="D273" s="54"/>
      <c r="E273" s="54"/>
      <c r="F273" s="57"/>
      <c r="G273" s="57"/>
      <c r="H273" s="57"/>
      <c r="I273" s="57"/>
      <c r="J273" s="54"/>
      <c r="K273" s="54"/>
    </row>
    <row r="274" spans="1:11" s="43" customFormat="1" hidden="1" x14ac:dyDescent="0.2">
      <c r="A274" s="54"/>
      <c r="B274" s="54"/>
      <c r="C274" s="54"/>
      <c r="D274" s="54"/>
      <c r="E274" s="54"/>
      <c r="F274" s="57"/>
      <c r="G274" s="57"/>
      <c r="H274" s="57"/>
      <c r="I274" s="57"/>
      <c r="J274" s="54"/>
      <c r="K274" s="54"/>
    </row>
    <row r="275" spans="1:11" s="43" customFormat="1" hidden="1" x14ac:dyDescent="0.2">
      <c r="A275" s="54"/>
      <c r="B275" s="54"/>
      <c r="C275" s="54"/>
      <c r="D275" s="54"/>
      <c r="E275" s="54"/>
      <c r="F275" s="57"/>
      <c r="G275" s="57"/>
      <c r="H275" s="57"/>
      <c r="I275" s="57"/>
      <c r="J275" s="54"/>
      <c r="K275" s="54"/>
    </row>
    <row r="276" spans="1:11" s="43" customFormat="1" hidden="1" x14ac:dyDescent="0.2">
      <c r="A276" s="54"/>
      <c r="B276" s="54"/>
      <c r="C276" s="54"/>
      <c r="D276" s="54"/>
      <c r="E276" s="54"/>
      <c r="F276" s="57"/>
      <c r="G276" s="57"/>
      <c r="H276" s="57"/>
      <c r="I276" s="57"/>
      <c r="J276" s="54"/>
      <c r="K276" s="54"/>
    </row>
    <row r="277" spans="1:11" s="43" customFormat="1" hidden="1" x14ac:dyDescent="0.2">
      <c r="A277" s="54"/>
      <c r="B277" s="54"/>
      <c r="C277" s="54"/>
      <c r="D277" s="54"/>
      <c r="E277" s="54"/>
      <c r="F277" s="57"/>
      <c r="G277" s="57"/>
      <c r="H277" s="57"/>
      <c r="I277" s="57"/>
      <c r="J277" s="54"/>
      <c r="K277" s="54"/>
    </row>
    <row r="278" spans="1:11" s="43" customFormat="1" hidden="1" x14ac:dyDescent="0.2">
      <c r="A278" s="54"/>
      <c r="B278" s="54"/>
      <c r="C278" s="54"/>
      <c r="D278" s="54"/>
      <c r="E278" s="54"/>
      <c r="F278" s="57"/>
      <c r="G278" s="57"/>
      <c r="H278" s="57"/>
      <c r="I278" s="57"/>
      <c r="J278" s="54"/>
      <c r="K278" s="54"/>
    </row>
    <row r="279" spans="1:11" s="43" customFormat="1" hidden="1" x14ac:dyDescent="0.2">
      <c r="A279" s="54"/>
      <c r="B279" s="54"/>
      <c r="C279" s="54"/>
      <c r="D279" s="54"/>
      <c r="E279" s="54"/>
      <c r="F279" s="57"/>
      <c r="G279" s="57"/>
      <c r="H279" s="57"/>
      <c r="I279" s="57"/>
      <c r="J279" s="54"/>
      <c r="K279" s="54"/>
    </row>
    <row r="280" spans="1:11" s="43" customFormat="1" hidden="1" x14ac:dyDescent="0.2">
      <c r="A280" s="54"/>
      <c r="B280" s="54"/>
      <c r="C280" s="54"/>
      <c r="D280" s="54"/>
      <c r="E280" s="54"/>
      <c r="F280" s="57"/>
      <c r="G280" s="57"/>
      <c r="H280" s="57"/>
      <c r="I280" s="57"/>
      <c r="J280" s="54"/>
      <c r="K280" s="54"/>
    </row>
    <row r="281" spans="1:11" s="43" customFormat="1" hidden="1" x14ac:dyDescent="0.2">
      <c r="A281" s="54"/>
      <c r="B281" s="54"/>
      <c r="C281" s="54"/>
      <c r="D281" s="54"/>
      <c r="E281" s="54"/>
      <c r="F281" s="57"/>
      <c r="G281" s="57"/>
      <c r="H281" s="57"/>
      <c r="I281" s="57"/>
      <c r="J281" s="54"/>
      <c r="K281" s="54"/>
    </row>
    <row r="282" spans="1:11" s="43" customFormat="1" hidden="1" x14ac:dyDescent="0.2">
      <c r="A282" s="54"/>
      <c r="B282" s="54"/>
      <c r="C282" s="54"/>
      <c r="D282" s="54"/>
      <c r="E282" s="54"/>
      <c r="F282" s="57"/>
      <c r="G282" s="57"/>
      <c r="H282" s="57"/>
      <c r="I282" s="57"/>
      <c r="J282" s="54"/>
      <c r="K282" s="54"/>
    </row>
    <row r="283" spans="1:11" s="43" customFormat="1" hidden="1" x14ac:dyDescent="0.2">
      <c r="A283" s="54"/>
      <c r="B283" s="54"/>
      <c r="C283" s="54"/>
      <c r="D283" s="54"/>
      <c r="E283" s="54"/>
      <c r="F283" s="57"/>
      <c r="G283" s="57"/>
      <c r="H283" s="57"/>
      <c r="I283" s="57"/>
      <c r="J283" s="54"/>
      <c r="K283" s="54"/>
    </row>
    <row r="284" spans="1:11" s="43" customFormat="1" hidden="1" x14ac:dyDescent="0.2">
      <c r="A284" s="54"/>
      <c r="B284" s="54"/>
      <c r="C284" s="54"/>
      <c r="D284" s="54"/>
      <c r="E284" s="54"/>
      <c r="F284" s="57"/>
      <c r="G284" s="57"/>
      <c r="H284" s="57"/>
      <c r="I284" s="57"/>
      <c r="J284" s="54"/>
      <c r="K284" s="54"/>
    </row>
    <row r="285" spans="1:11" s="43" customFormat="1" hidden="1" x14ac:dyDescent="0.2">
      <c r="A285" s="54"/>
      <c r="B285" s="54"/>
      <c r="C285" s="54"/>
      <c r="D285" s="54"/>
      <c r="E285" s="54"/>
      <c r="F285" s="57"/>
      <c r="G285" s="57"/>
      <c r="H285" s="57"/>
      <c r="I285" s="57"/>
      <c r="J285" s="54"/>
      <c r="K285" s="54"/>
    </row>
    <row r="286" spans="1:11" s="43" customFormat="1" hidden="1" x14ac:dyDescent="0.2">
      <c r="A286" s="54"/>
      <c r="B286" s="54"/>
      <c r="C286" s="54"/>
      <c r="D286" s="54"/>
      <c r="E286" s="54"/>
      <c r="F286" s="57"/>
      <c r="G286" s="57"/>
      <c r="H286" s="57"/>
      <c r="I286" s="57"/>
      <c r="J286" s="54"/>
      <c r="K286" s="54"/>
    </row>
    <row r="287" spans="1:11" s="43" customFormat="1" hidden="1" x14ac:dyDescent="0.2">
      <c r="A287" s="54"/>
      <c r="B287" s="54"/>
      <c r="C287" s="54"/>
      <c r="D287" s="54"/>
      <c r="E287" s="54"/>
      <c r="F287" s="57"/>
      <c r="G287" s="57"/>
      <c r="H287" s="57"/>
      <c r="I287" s="57"/>
      <c r="J287" s="54"/>
      <c r="K287" s="54"/>
    </row>
    <row r="288" spans="1:11" s="43" customFormat="1" hidden="1" x14ac:dyDescent="0.2">
      <c r="A288" s="54"/>
      <c r="B288" s="54"/>
      <c r="C288" s="54"/>
      <c r="D288" s="54"/>
      <c r="E288" s="54"/>
      <c r="F288" s="57"/>
      <c r="G288" s="57"/>
      <c r="H288" s="57"/>
      <c r="I288" s="57"/>
      <c r="J288" s="54"/>
      <c r="K288" s="54"/>
    </row>
    <row r="289" spans="1:11" s="43" customFormat="1" hidden="1" x14ac:dyDescent="0.2">
      <c r="A289" s="54"/>
      <c r="B289" s="54"/>
      <c r="C289" s="54"/>
      <c r="D289" s="54"/>
      <c r="E289" s="54"/>
      <c r="F289" s="57"/>
      <c r="G289" s="57"/>
      <c r="H289" s="57"/>
      <c r="I289" s="57"/>
      <c r="J289" s="54"/>
      <c r="K289" s="54"/>
    </row>
    <row r="290" spans="1:11" s="43" customFormat="1" hidden="1" x14ac:dyDescent="0.2">
      <c r="A290" s="54"/>
      <c r="B290" s="54"/>
      <c r="C290" s="54"/>
      <c r="D290" s="54"/>
      <c r="E290" s="54"/>
      <c r="F290" s="57"/>
      <c r="G290" s="57"/>
      <c r="H290" s="57"/>
      <c r="I290" s="57"/>
      <c r="J290" s="54"/>
      <c r="K290" s="54"/>
    </row>
    <row r="291" spans="1:11" s="43" customFormat="1" hidden="1" x14ac:dyDescent="0.2">
      <c r="A291" s="54"/>
      <c r="B291" s="54"/>
      <c r="C291" s="54"/>
      <c r="D291" s="54"/>
      <c r="E291" s="54"/>
      <c r="F291" s="57"/>
      <c r="G291" s="57"/>
      <c r="H291" s="57"/>
      <c r="I291" s="57"/>
      <c r="J291" s="54"/>
      <c r="K291" s="54"/>
    </row>
    <row r="292" spans="1:11" s="43" customFormat="1" hidden="1" x14ac:dyDescent="0.2">
      <c r="A292" s="54"/>
      <c r="B292" s="54"/>
      <c r="C292" s="54"/>
      <c r="D292" s="54"/>
      <c r="E292" s="54"/>
      <c r="F292" s="57"/>
      <c r="G292" s="57"/>
      <c r="H292" s="57"/>
      <c r="I292" s="57"/>
      <c r="J292" s="54"/>
      <c r="K292" s="54"/>
    </row>
    <row r="293" spans="1:11" s="43" customFormat="1" hidden="1" x14ac:dyDescent="0.2">
      <c r="A293" s="54"/>
      <c r="B293" s="54"/>
      <c r="C293" s="54"/>
      <c r="D293" s="54"/>
      <c r="E293" s="54"/>
      <c r="F293" s="57"/>
      <c r="G293" s="57"/>
      <c r="H293" s="57"/>
      <c r="I293" s="57"/>
      <c r="J293" s="54"/>
      <c r="K293" s="54"/>
    </row>
    <row r="294" spans="1:11" s="43" customFormat="1" hidden="1" x14ac:dyDescent="0.2">
      <c r="A294" s="54"/>
      <c r="B294" s="54"/>
      <c r="C294" s="54"/>
      <c r="D294" s="54"/>
      <c r="E294" s="54"/>
      <c r="F294" s="57"/>
      <c r="G294" s="57"/>
      <c r="H294" s="57"/>
      <c r="I294" s="57"/>
      <c r="J294" s="54"/>
      <c r="K294" s="54"/>
    </row>
    <row r="295" spans="1:11" s="43" customFormat="1" hidden="1" x14ac:dyDescent="0.2">
      <c r="A295" s="54"/>
      <c r="B295" s="54"/>
      <c r="C295" s="54"/>
      <c r="D295" s="54"/>
      <c r="E295" s="54"/>
      <c r="F295" s="57"/>
      <c r="G295" s="57"/>
      <c r="H295" s="57"/>
      <c r="I295" s="57"/>
      <c r="J295" s="54"/>
      <c r="K295" s="54"/>
    </row>
    <row r="296" spans="1:11" s="43" customFormat="1" hidden="1" x14ac:dyDescent="0.2">
      <c r="A296" s="54"/>
      <c r="B296" s="54"/>
      <c r="C296" s="54"/>
      <c r="D296" s="54"/>
      <c r="E296" s="54"/>
      <c r="F296" s="57"/>
      <c r="G296" s="57"/>
      <c r="H296" s="57"/>
      <c r="I296" s="57"/>
      <c r="J296" s="54"/>
      <c r="K296" s="54"/>
    </row>
    <row r="297" spans="1:11" s="43" customFormat="1" hidden="1" x14ac:dyDescent="0.2">
      <c r="A297" s="54"/>
      <c r="B297" s="54"/>
      <c r="C297" s="54"/>
      <c r="D297" s="54"/>
      <c r="E297" s="54"/>
      <c r="F297" s="57"/>
      <c r="G297" s="57"/>
      <c r="H297" s="57"/>
      <c r="I297" s="57"/>
      <c r="J297" s="54"/>
      <c r="K297" s="54"/>
    </row>
    <row r="298" spans="1:11" s="43" customFormat="1" hidden="1" x14ac:dyDescent="0.2">
      <c r="A298" s="54"/>
      <c r="B298" s="54"/>
      <c r="C298" s="54"/>
      <c r="D298" s="54"/>
      <c r="E298" s="54"/>
      <c r="F298" s="57"/>
      <c r="G298" s="57"/>
      <c r="H298" s="57"/>
      <c r="I298" s="57"/>
      <c r="J298" s="54"/>
      <c r="K298" s="54"/>
    </row>
    <row r="299" spans="1:11" s="43" customFormat="1" hidden="1" x14ac:dyDescent="0.2">
      <c r="A299" s="54"/>
      <c r="B299" s="54"/>
      <c r="C299" s="54"/>
      <c r="D299" s="54"/>
      <c r="E299" s="54"/>
      <c r="F299" s="57"/>
      <c r="G299" s="57"/>
      <c r="H299" s="57"/>
      <c r="I299" s="57"/>
      <c r="J299" s="54"/>
      <c r="K299" s="54"/>
    </row>
    <row r="300" spans="1:11" s="43" customFormat="1" hidden="1" x14ac:dyDescent="0.2">
      <c r="A300" s="54"/>
      <c r="B300" s="54"/>
      <c r="C300" s="54"/>
      <c r="D300" s="54"/>
      <c r="E300" s="54"/>
      <c r="F300" s="57"/>
      <c r="G300" s="57"/>
      <c r="H300" s="57"/>
      <c r="I300" s="57"/>
      <c r="J300" s="54"/>
      <c r="K300" s="54"/>
    </row>
    <row r="301" spans="1:11" s="43" customFormat="1" hidden="1" x14ac:dyDescent="0.2">
      <c r="A301" s="54"/>
      <c r="B301" s="54"/>
      <c r="C301" s="54"/>
      <c r="D301" s="54"/>
      <c r="E301" s="54"/>
      <c r="F301" s="57"/>
      <c r="G301" s="57"/>
      <c r="H301" s="57"/>
      <c r="I301" s="57"/>
      <c r="J301" s="54"/>
      <c r="K301" s="54"/>
    </row>
    <row r="302" spans="1:11" s="43" customFormat="1" hidden="1" x14ac:dyDescent="0.2">
      <c r="A302" s="54"/>
      <c r="B302" s="54"/>
      <c r="C302" s="54"/>
      <c r="D302" s="54"/>
      <c r="E302" s="54"/>
      <c r="F302" s="57"/>
      <c r="G302" s="57"/>
      <c r="H302" s="57"/>
      <c r="I302" s="57"/>
      <c r="J302" s="54"/>
      <c r="K302" s="54"/>
    </row>
    <row r="303" spans="1:11" s="43" customFormat="1" hidden="1" x14ac:dyDescent="0.2">
      <c r="A303" s="54"/>
      <c r="B303" s="54"/>
      <c r="C303" s="54"/>
      <c r="D303" s="54"/>
      <c r="E303" s="54"/>
      <c r="F303" s="57"/>
      <c r="G303" s="57"/>
      <c r="H303" s="57"/>
      <c r="I303" s="57"/>
      <c r="J303" s="54"/>
      <c r="K303" s="54"/>
    </row>
    <row r="304" spans="1:11" s="43" customFormat="1" hidden="1" x14ac:dyDescent="0.2">
      <c r="A304" s="54"/>
      <c r="B304" s="54"/>
      <c r="C304" s="54"/>
      <c r="D304" s="54"/>
      <c r="E304" s="54"/>
      <c r="F304" s="57"/>
      <c r="G304" s="57"/>
      <c r="H304" s="57"/>
      <c r="I304" s="57"/>
      <c r="J304" s="54"/>
      <c r="K304" s="54"/>
    </row>
    <row r="305" spans="1:11" s="43" customFormat="1" hidden="1" x14ac:dyDescent="0.2">
      <c r="A305" s="54"/>
      <c r="B305" s="54"/>
      <c r="C305" s="54"/>
      <c r="D305" s="54"/>
      <c r="E305" s="54"/>
      <c r="F305" s="57"/>
      <c r="G305" s="57"/>
      <c r="H305" s="57"/>
      <c r="I305" s="57"/>
      <c r="J305" s="54"/>
      <c r="K305" s="54"/>
    </row>
    <row r="306" spans="1:11" s="43" customFormat="1" hidden="1" x14ac:dyDescent="0.2">
      <c r="A306" s="54"/>
      <c r="B306" s="54"/>
      <c r="C306" s="54"/>
      <c r="D306" s="54"/>
      <c r="E306" s="54"/>
      <c r="F306" s="57"/>
      <c r="G306" s="57"/>
      <c r="H306" s="57"/>
      <c r="I306" s="57"/>
      <c r="J306" s="54"/>
      <c r="K306" s="54"/>
    </row>
    <row r="307" spans="1:11" s="43" customFormat="1" hidden="1" x14ac:dyDescent="0.2">
      <c r="A307" s="54"/>
      <c r="B307" s="54"/>
      <c r="C307" s="54"/>
      <c r="D307" s="54"/>
      <c r="E307" s="54"/>
      <c r="F307" s="57"/>
      <c r="G307" s="57"/>
      <c r="H307" s="57"/>
      <c r="I307" s="57"/>
      <c r="J307" s="54"/>
      <c r="K307" s="54"/>
    </row>
    <row r="308" spans="1:11" s="43" customFormat="1" hidden="1" x14ac:dyDescent="0.2">
      <c r="A308" s="54"/>
      <c r="B308" s="54"/>
      <c r="C308" s="54"/>
      <c r="D308" s="54"/>
      <c r="E308" s="54"/>
      <c r="F308" s="57"/>
      <c r="G308" s="57"/>
      <c r="H308" s="57"/>
      <c r="I308" s="57"/>
      <c r="J308" s="54"/>
      <c r="K308" s="54"/>
    </row>
    <row r="309" spans="1:11" s="43" customFormat="1" hidden="1" x14ac:dyDescent="0.2">
      <c r="A309" s="54"/>
      <c r="B309" s="54"/>
      <c r="C309" s="54"/>
      <c r="D309" s="54"/>
      <c r="E309" s="54"/>
      <c r="F309" s="57"/>
      <c r="G309" s="57"/>
      <c r="H309" s="57"/>
      <c r="I309" s="57"/>
      <c r="J309" s="54"/>
      <c r="K309" s="54"/>
    </row>
    <row r="310" spans="1:11" s="43" customFormat="1" hidden="1" x14ac:dyDescent="0.2">
      <c r="A310" s="54"/>
      <c r="B310" s="54"/>
      <c r="C310" s="54"/>
      <c r="D310" s="54"/>
      <c r="E310" s="54"/>
      <c r="F310" s="57"/>
      <c r="G310" s="57"/>
      <c r="H310" s="57"/>
      <c r="I310" s="57"/>
      <c r="J310" s="54"/>
      <c r="K310" s="54"/>
    </row>
    <row r="311" spans="1:11" s="43" customFormat="1" hidden="1" x14ac:dyDescent="0.2">
      <c r="A311" s="54"/>
      <c r="B311" s="54"/>
      <c r="C311" s="54"/>
      <c r="D311" s="54"/>
      <c r="E311" s="54"/>
      <c r="F311" s="57"/>
      <c r="G311" s="57"/>
      <c r="H311" s="57"/>
      <c r="I311" s="57"/>
      <c r="J311" s="54"/>
      <c r="K311" s="54"/>
    </row>
    <row r="312" spans="1:11" s="43" customFormat="1" hidden="1" x14ac:dyDescent="0.2">
      <c r="A312" s="54"/>
      <c r="B312" s="54"/>
      <c r="C312" s="54"/>
      <c r="D312" s="54"/>
      <c r="E312" s="54"/>
      <c r="F312" s="57"/>
      <c r="G312" s="57"/>
      <c r="H312" s="57"/>
      <c r="I312" s="57"/>
      <c r="J312" s="54"/>
      <c r="K312" s="54"/>
    </row>
    <row r="313" spans="1:11" s="43" customFormat="1" hidden="1" x14ac:dyDescent="0.2">
      <c r="A313" s="54"/>
      <c r="B313" s="54"/>
      <c r="C313" s="54"/>
      <c r="D313" s="54"/>
      <c r="E313" s="54"/>
      <c r="F313" s="57"/>
      <c r="G313" s="57"/>
      <c r="H313" s="57"/>
      <c r="I313" s="57"/>
      <c r="J313" s="54"/>
      <c r="K313" s="54"/>
    </row>
    <row r="314" spans="1:11" s="43" customFormat="1" hidden="1" x14ac:dyDescent="0.2">
      <c r="A314" s="54"/>
      <c r="B314" s="54"/>
      <c r="C314" s="54"/>
      <c r="D314" s="54"/>
      <c r="E314" s="54"/>
      <c r="F314" s="57"/>
      <c r="G314" s="57"/>
      <c r="H314" s="57"/>
      <c r="I314" s="57"/>
      <c r="J314" s="54"/>
      <c r="K314" s="54"/>
    </row>
    <row r="315" spans="1:11" s="43" customFormat="1" hidden="1" x14ac:dyDescent="0.2">
      <c r="A315" s="54"/>
      <c r="B315" s="54"/>
      <c r="C315" s="54"/>
      <c r="D315" s="54"/>
      <c r="E315" s="54"/>
      <c r="F315" s="57"/>
      <c r="G315" s="57"/>
      <c r="H315" s="57"/>
      <c r="I315" s="57"/>
      <c r="J315" s="54"/>
      <c r="K315" s="54"/>
    </row>
    <row r="316" spans="1:11" s="43" customFormat="1" hidden="1" x14ac:dyDescent="0.2">
      <c r="A316" s="54"/>
      <c r="B316" s="54"/>
      <c r="C316" s="54"/>
      <c r="D316" s="54"/>
      <c r="E316" s="54"/>
      <c r="F316" s="57"/>
      <c r="G316" s="57"/>
      <c r="H316" s="57"/>
      <c r="I316" s="57"/>
      <c r="J316" s="54"/>
      <c r="K316" s="54"/>
    </row>
    <row r="317" spans="1:11" s="43" customFormat="1" hidden="1" x14ac:dyDescent="0.2">
      <c r="A317" s="54"/>
      <c r="B317" s="54"/>
      <c r="C317" s="54"/>
      <c r="D317" s="54"/>
      <c r="E317" s="54"/>
      <c r="F317" s="57"/>
      <c r="G317" s="57"/>
      <c r="H317" s="57"/>
      <c r="I317" s="57"/>
      <c r="J317" s="54"/>
      <c r="K317" s="54"/>
    </row>
    <row r="318" spans="1:11" s="43" customFormat="1" hidden="1" x14ac:dyDescent="0.2">
      <c r="A318" s="54"/>
      <c r="B318" s="54"/>
      <c r="C318" s="54"/>
      <c r="D318" s="54"/>
      <c r="E318" s="54"/>
      <c r="F318" s="57"/>
      <c r="G318" s="57"/>
      <c r="H318" s="57"/>
      <c r="I318" s="57"/>
      <c r="J318" s="54"/>
      <c r="K318" s="54"/>
    </row>
    <row r="319" spans="1:11" s="43" customFormat="1" hidden="1" x14ac:dyDescent="0.2">
      <c r="A319" s="54"/>
      <c r="B319" s="54"/>
      <c r="C319" s="54"/>
      <c r="D319" s="54"/>
      <c r="E319" s="54"/>
      <c r="F319" s="57"/>
      <c r="G319" s="57"/>
      <c r="H319" s="57"/>
      <c r="I319" s="57"/>
      <c r="J319" s="54"/>
      <c r="K319" s="54"/>
    </row>
    <row r="320" spans="1:11" s="43" customFormat="1" hidden="1" x14ac:dyDescent="0.2">
      <c r="A320" s="54"/>
      <c r="B320" s="54"/>
      <c r="C320" s="54"/>
      <c r="D320" s="54"/>
      <c r="E320" s="54"/>
      <c r="F320" s="57"/>
      <c r="G320" s="57"/>
      <c r="H320" s="57"/>
      <c r="I320" s="57"/>
      <c r="J320" s="54"/>
      <c r="K320" s="54"/>
    </row>
    <row r="321" spans="1:11" s="43" customFormat="1" hidden="1" x14ac:dyDescent="0.2">
      <c r="A321" s="54"/>
      <c r="B321" s="54"/>
      <c r="C321" s="54"/>
      <c r="D321" s="54"/>
      <c r="E321" s="54"/>
      <c r="F321" s="57"/>
      <c r="G321" s="57"/>
      <c r="H321" s="57"/>
      <c r="I321" s="57"/>
      <c r="J321" s="54"/>
      <c r="K321" s="54"/>
    </row>
    <row r="322" spans="1:11" s="43" customFormat="1" hidden="1" x14ac:dyDescent="0.2">
      <c r="A322" s="54"/>
      <c r="B322" s="54"/>
      <c r="C322" s="54"/>
      <c r="D322" s="54"/>
      <c r="E322" s="54"/>
      <c r="F322" s="57"/>
      <c r="G322" s="57"/>
      <c r="H322" s="57"/>
      <c r="I322" s="57"/>
      <c r="J322" s="54"/>
      <c r="K322" s="54"/>
    </row>
    <row r="323" spans="1:11" s="43" customFormat="1" hidden="1" x14ac:dyDescent="0.2">
      <c r="A323" s="54"/>
      <c r="B323" s="54"/>
      <c r="C323" s="54"/>
      <c r="D323" s="54"/>
      <c r="E323" s="54"/>
      <c r="F323" s="57"/>
      <c r="G323" s="57"/>
      <c r="H323" s="57"/>
      <c r="I323" s="57"/>
      <c r="J323" s="54"/>
      <c r="K323" s="54"/>
    </row>
    <row r="324" spans="1:11" s="43" customFormat="1" hidden="1" x14ac:dyDescent="0.2">
      <c r="A324" s="54"/>
      <c r="B324" s="54"/>
      <c r="C324" s="54"/>
      <c r="D324" s="54"/>
      <c r="E324" s="54"/>
      <c r="F324" s="57"/>
      <c r="G324" s="57"/>
      <c r="H324" s="57"/>
      <c r="I324" s="57"/>
      <c r="J324" s="54"/>
      <c r="K324" s="54"/>
    </row>
    <row r="325" spans="1:11" s="43" customFormat="1" hidden="1" x14ac:dyDescent="0.2">
      <c r="A325" s="54"/>
      <c r="B325" s="54"/>
      <c r="C325" s="54"/>
      <c r="D325" s="54"/>
      <c r="E325" s="54"/>
      <c r="F325" s="57"/>
      <c r="G325" s="57"/>
      <c r="H325" s="57"/>
      <c r="I325" s="57"/>
      <c r="J325" s="54"/>
      <c r="K325" s="54"/>
    </row>
    <row r="326" spans="1:11" s="43" customFormat="1" hidden="1" x14ac:dyDescent="0.2">
      <c r="A326" s="54"/>
      <c r="B326" s="54"/>
      <c r="C326" s="54"/>
      <c r="D326" s="54"/>
      <c r="E326" s="54"/>
      <c r="F326" s="57"/>
      <c r="G326" s="57"/>
      <c r="H326" s="57"/>
      <c r="I326" s="57"/>
      <c r="J326" s="54"/>
      <c r="K326" s="54"/>
    </row>
    <row r="327" spans="1:11" s="43" customFormat="1" hidden="1" x14ac:dyDescent="0.2">
      <c r="A327" s="54"/>
      <c r="B327" s="54"/>
      <c r="C327" s="54"/>
      <c r="D327" s="54"/>
      <c r="E327" s="54"/>
      <c r="F327" s="57"/>
      <c r="G327" s="57"/>
      <c r="H327" s="57"/>
      <c r="I327" s="57"/>
      <c r="J327" s="54"/>
      <c r="K327" s="54"/>
    </row>
    <row r="328" spans="1:11" s="43" customFormat="1" hidden="1" x14ac:dyDescent="0.2">
      <c r="A328" s="54"/>
      <c r="B328" s="54"/>
      <c r="C328" s="54"/>
      <c r="D328" s="54"/>
      <c r="E328" s="54"/>
      <c r="F328" s="57"/>
      <c r="G328" s="57"/>
      <c r="H328" s="57"/>
      <c r="I328" s="57"/>
      <c r="J328" s="54"/>
      <c r="K328" s="54"/>
    </row>
    <row r="329" spans="1:11" s="43" customFormat="1" hidden="1" x14ac:dyDescent="0.2">
      <c r="A329" s="54"/>
      <c r="B329" s="54"/>
      <c r="C329" s="54"/>
      <c r="D329" s="54"/>
      <c r="E329" s="54"/>
      <c r="F329" s="57"/>
      <c r="G329" s="57"/>
      <c r="H329" s="57"/>
      <c r="I329" s="57"/>
      <c r="J329" s="54"/>
      <c r="K329" s="54"/>
    </row>
    <row r="330" spans="1:11" s="43" customFormat="1" hidden="1" x14ac:dyDescent="0.2">
      <c r="A330" s="54"/>
      <c r="B330" s="54"/>
      <c r="C330" s="54"/>
      <c r="D330" s="54"/>
      <c r="E330" s="54"/>
      <c r="F330" s="57"/>
      <c r="G330" s="57"/>
      <c r="H330" s="57"/>
      <c r="I330" s="57"/>
      <c r="J330" s="54"/>
      <c r="K330" s="54"/>
    </row>
    <row r="331" spans="1:11" s="43" customFormat="1" hidden="1" x14ac:dyDescent="0.2">
      <c r="A331" s="54"/>
      <c r="B331" s="54"/>
      <c r="C331" s="54"/>
      <c r="D331" s="54"/>
      <c r="E331" s="54"/>
      <c r="F331" s="57"/>
      <c r="G331" s="57"/>
      <c r="H331" s="57"/>
      <c r="I331" s="57"/>
      <c r="J331" s="54"/>
      <c r="K331" s="54"/>
    </row>
    <row r="332" spans="1:11" s="43" customFormat="1" hidden="1" x14ac:dyDescent="0.2">
      <c r="A332" s="54"/>
      <c r="B332" s="54"/>
      <c r="C332" s="54"/>
      <c r="D332" s="54"/>
      <c r="E332" s="54"/>
      <c r="F332" s="57"/>
      <c r="G332" s="57"/>
      <c r="H332" s="57"/>
      <c r="I332" s="57"/>
      <c r="J332" s="54"/>
      <c r="K332" s="54"/>
    </row>
    <row r="333" spans="1:11" s="43" customFormat="1" hidden="1" x14ac:dyDescent="0.2">
      <c r="A333" s="54"/>
      <c r="B333" s="54"/>
      <c r="C333" s="54"/>
      <c r="D333" s="54"/>
      <c r="E333" s="54"/>
      <c r="F333" s="57"/>
      <c r="G333" s="57"/>
      <c r="H333" s="57"/>
      <c r="I333" s="57"/>
      <c r="J333" s="54"/>
      <c r="K333" s="54"/>
    </row>
    <row r="334" spans="1:11" s="43" customFormat="1" hidden="1" x14ac:dyDescent="0.2">
      <c r="A334" s="54"/>
      <c r="B334" s="54"/>
      <c r="C334" s="54"/>
      <c r="D334" s="54"/>
      <c r="E334" s="54"/>
      <c r="F334" s="57"/>
      <c r="G334" s="57"/>
      <c r="H334" s="57"/>
      <c r="I334" s="57"/>
      <c r="J334" s="54"/>
      <c r="K334" s="54"/>
    </row>
    <row r="335" spans="1:11" s="43" customFormat="1" hidden="1" x14ac:dyDescent="0.2">
      <c r="A335" s="54"/>
      <c r="B335" s="54"/>
      <c r="C335" s="54"/>
      <c r="D335" s="54"/>
      <c r="E335" s="54"/>
      <c r="F335" s="57"/>
      <c r="G335" s="57"/>
      <c r="H335" s="57"/>
      <c r="I335" s="57"/>
      <c r="J335" s="54"/>
      <c r="K335" s="54"/>
    </row>
    <row r="336" spans="1:11" s="43" customFormat="1" hidden="1" x14ac:dyDescent="0.2">
      <c r="A336" s="54"/>
      <c r="B336" s="54"/>
      <c r="C336" s="54"/>
      <c r="D336" s="54"/>
      <c r="E336" s="54"/>
      <c r="F336" s="57"/>
      <c r="G336" s="57"/>
      <c r="H336" s="57"/>
      <c r="I336" s="57"/>
      <c r="J336" s="54"/>
      <c r="K336" s="54"/>
    </row>
    <row r="337" spans="1:11" s="43" customFormat="1" hidden="1" x14ac:dyDescent="0.2">
      <c r="A337" s="54"/>
      <c r="B337" s="54"/>
      <c r="C337" s="54"/>
      <c r="D337" s="54"/>
      <c r="E337" s="54"/>
      <c r="F337" s="57"/>
      <c r="G337" s="57"/>
      <c r="H337" s="57"/>
      <c r="I337" s="57"/>
      <c r="J337" s="54"/>
      <c r="K337" s="54"/>
    </row>
    <row r="338" spans="1:11" s="43" customFormat="1" hidden="1" x14ac:dyDescent="0.2">
      <c r="A338" s="54"/>
      <c r="B338" s="54"/>
      <c r="C338" s="54"/>
      <c r="D338" s="54"/>
      <c r="E338" s="54"/>
      <c r="F338" s="57"/>
      <c r="G338" s="57"/>
      <c r="H338" s="57"/>
      <c r="I338" s="57"/>
      <c r="J338" s="54"/>
      <c r="K338" s="54"/>
    </row>
    <row r="339" spans="1:11" s="43" customFormat="1" hidden="1" x14ac:dyDescent="0.2">
      <c r="A339" s="54"/>
      <c r="B339" s="54"/>
      <c r="C339" s="54"/>
      <c r="D339" s="54"/>
      <c r="E339" s="54"/>
      <c r="F339" s="57"/>
      <c r="G339" s="57"/>
      <c r="H339" s="57"/>
      <c r="I339" s="57"/>
      <c r="J339" s="54"/>
      <c r="K339" s="54"/>
    </row>
    <row r="340" spans="1:11" s="43" customFormat="1" hidden="1" x14ac:dyDescent="0.2">
      <c r="A340" s="54"/>
      <c r="B340" s="54"/>
      <c r="C340" s="54"/>
      <c r="D340" s="54"/>
      <c r="E340" s="54"/>
      <c r="F340" s="57"/>
      <c r="G340" s="57"/>
      <c r="H340" s="57"/>
      <c r="I340" s="57"/>
      <c r="J340" s="54"/>
      <c r="K340" s="54"/>
    </row>
    <row r="341" spans="1:11" s="43" customFormat="1" hidden="1" x14ac:dyDescent="0.2">
      <c r="A341" s="54"/>
      <c r="B341" s="54"/>
      <c r="C341" s="54"/>
      <c r="D341" s="54"/>
      <c r="E341" s="54"/>
      <c r="F341" s="57"/>
      <c r="G341" s="57"/>
      <c r="H341" s="57"/>
      <c r="I341" s="57"/>
      <c r="J341" s="54"/>
      <c r="K341" s="54"/>
    </row>
    <row r="342" spans="1:11" s="43" customFormat="1" hidden="1" x14ac:dyDescent="0.2">
      <c r="A342" s="54"/>
      <c r="B342" s="54"/>
      <c r="C342" s="54"/>
      <c r="D342" s="54"/>
      <c r="E342" s="54"/>
      <c r="F342" s="57"/>
      <c r="G342" s="57"/>
      <c r="H342" s="57"/>
      <c r="I342" s="57"/>
      <c r="J342" s="54"/>
      <c r="K342" s="54"/>
    </row>
    <row r="343" spans="1:11" s="43" customFormat="1" hidden="1" x14ac:dyDescent="0.2">
      <c r="A343" s="54"/>
      <c r="B343" s="54"/>
      <c r="C343" s="54"/>
      <c r="D343" s="54"/>
      <c r="E343" s="54"/>
      <c r="F343" s="57"/>
      <c r="G343" s="57"/>
      <c r="H343" s="57"/>
      <c r="I343" s="57"/>
      <c r="J343" s="54"/>
      <c r="K343" s="54"/>
    </row>
    <row r="344" spans="1:11" s="43" customFormat="1" hidden="1" x14ac:dyDescent="0.2">
      <c r="A344" s="54"/>
      <c r="B344" s="54"/>
      <c r="C344" s="54"/>
      <c r="D344" s="54"/>
      <c r="E344" s="54"/>
      <c r="F344" s="57"/>
      <c r="G344" s="57"/>
      <c r="H344" s="57"/>
      <c r="I344" s="57"/>
      <c r="J344" s="54"/>
      <c r="K344" s="54"/>
    </row>
    <row r="345" spans="1:11" s="43" customFormat="1" hidden="1" x14ac:dyDescent="0.2">
      <c r="A345" s="54"/>
      <c r="B345" s="54"/>
      <c r="C345" s="54"/>
      <c r="D345" s="54"/>
      <c r="E345" s="54"/>
      <c r="F345" s="57"/>
      <c r="G345" s="57"/>
      <c r="H345" s="57"/>
      <c r="I345" s="57"/>
      <c r="J345" s="54"/>
      <c r="K345" s="54"/>
    </row>
    <row r="346" spans="1:11" s="43" customFormat="1" hidden="1" x14ac:dyDescent="0.2">
      <c r="A346" s="54"/>
      <c r="B346" s="54"/>
      <c r="C346" s="54"/>
      <c r="D346" s="54"/>
      <c r="E346" s="54"/>
      <c r="F346" s="57"/>
      <c r="G346" s="57"/>
      <c r="H346" s="57"/>
      <c r="I346" s="57"/>
      <c r="J346" s="54"/>
      <c r="K346" s="54"/>
    </row>
    <row r="347" spans="1:11" s="43" customFormat="1" hidden="1" x14ac:dyDescent="0.2">
      <c r="A347" s="54"/>
      <c r="B347" s="54"/>
      <c r="C347" s="54"/>
      <c r="D347" s="54"/>
      <c r="E347" s="54"/>
      <c r="F347" s="57"/>
      <c r="G347" s="57"/>
      <c r="H347" s="57"/>
      <c r="I347" s="57"/>
      <c r="J347" s="54"/>
      <c r="K347" s="54"/>
    </row>
    <row r="348" spans="1:11" s="43" customFormat="1" hidden="1" x14ac:dyDescent="0.2">
      <c r="A348" s="54"/>
      <c r="B348" s="54"/>
      <c r="C348" s="54"/>
      <c r="D348" s="54"/>
      <c r="E348" s="54"/>
      <c r="F348" s="57"/>
      <c r="G348" s="57"/>
      <c r="H348" s="57"/>
      <c r="I348" s="57"/>
      <c r="J348" s="54"/>
      <c r="K348" s="54"/>
    </row>
    <row r="349" spans="1:11" s="43" customFormat="1" hidden="1" x14ac:dyDescent="0.2">
      <c r="A349" s="54"/>
      <c r="B349" s="54"/>
      <c r="C349" s="54"/>
      <c r="D349" s="54"/>
      <c r="E349" s="54"/>
      <c r="F349" s="57"/>
      <c r="G349" s="57"/>
      <c r="H349" s="57"/>
      <c r="I349" s="57"/>
      <c r="J349" s="54"/>
      <c r="K349" s="54"/>
    </row>
    <row r="350" spans="1:11" s="43" customFormat="1" hidden="1" x14ac:dyDescent="0.2">
      <c r="A350" s="54"/>
      <c r="B350" s="54"/>
      <c r="C350" s="54"/>
      <c r="D350" s="54"/>
      <c r="E350" s="54"/>
      <c r="F350" s="57"/>
      <c r="G350" s="57"/>
      <c r="H350" s="57"/>
      <c r="I350" s="57"/>
      <c r="J350" s="54"/>
      <c r="K350" s="54"/>
    </row>
    <row r="351" spans="1:11" s="43" customFormat="1" hidden="1" x14ac:dyDescent="0.2">
      <c r="A351" s="54"/>
      <c r="B351" s="54"/>
      <c r="C351" s="54"/>
      <c r="D351" s="54"/>
      <c r="E351" s="54"/>
      <c r="F351" s="57"/>
      <c r="G351" s="57"/>
      <c r="H351" s="57"/>
      <c r="I351" s="57"/>
      <c r="J351" s="54"/>
      <c r="K351" s="54"/>
    </row>
    <row r="352" spans="1:11" s="43" customFormat="1" hidden="1" x14ac:dyDescent="0.2">
      <c r="A352" s="54"/>
      <c r="B352" s="54"/>
      <c r="C352" s="54"/>
      <c r="D352" s="54"/>
      <c r="E352" s="54"/>
      <c r="F352" s="57"/>
      <c r="G352" s="57"/>
      <c r="H352" s="57"/>
      <c r="I352" s="57"/>
      <c r="J352" s="54"/>
      <c r="K352" s="54"/>
    </row>
    <row r="353" spans="1:11" s="43" customFormat="1" hidden="1" x14ac:dyDescent="0.2">
      <c r="A353" s="54"/>
      <c r="B353" s="54"/>
      <c r="C353" s="54"/>
      <c r="D353" s="54"/>
      <c r="E353" s="54"/>
      <c r="F353" s="57"/>
      <c r="G353" s="57"/>
      <c r="H353" s="57"/>
      <c r="I353" s="57"/>
      <c r="J353" s="54"/>
      <c r="K353" s="54"/>
    </row>
    <row r="354" spans="1:11" s="43" customFormat="1" hidden="1" x14ac:dyDescent="0.2">
      <c r="A354" s="54"/>
      <c r="B354" s="54"/>
      <c r="C354" s="54"/>
      <c r="D354" s="54"/>
      <c r="E354" s="54"/>
      <c r="F354" s="57"/>
      <c r="G354" s="57"/>
      <c r="H354" s="57"/>
      <c r="I354" s="57"/>
      <c r="J354" s="54"/>
      <c r="K354" s="54"/>
    </row>
    <row r="355" spans="1:11" s="43" customFormat="1" hidden="1" x14ac:dyDescent="0.2">
      <c r="A355" s="54"/>
      <c r="B355" s="54"/>
      <c r="C355" s="54"/>
      <c r="D355" s="54"/>
      <c r="E355" s="54"/>
      <c r="F355" s="57"/>
      <c r="G355" s="57"/>
      <c r="H355" s="57"/>
      <c r="I355" s="57"/>
      <c r="J355" s="54"/>
      <c r="K355" s="54"/>
    </row>
    <row r="356" spans="1:11" s="43" customFormat="1" hidden="1" x14ac:dyDescent="0.2">
      <c r="A356" s="54"/>
      <c r="B356" s="54"/>
      <c r="C356" s="54"/>
      <c r="D356" s="54"/>
      <c r="E356" s="54"/>
      <c r="F356" s="57"/>
      <c r="G356" s="57"/>
      <c r="H356" s="57"/>
      <c r="I356" s="57"/>
      <c r="J356" s="54"/>
      <c r="K356" s="54"/>
    </row>
    <row r="357" spans="1:11" s="43" customFormat="1" hidden="1" x14ac:dyDescent="0.2">
      <c r="A357" s="54"/>
      <c r="B357" s="54"/>
      <c r="C357" s="54"/>
      <c r="D357" s="54"/>
      <c r="E357" s="54"/>
      <c r="F357" s="57"/>
      <c r="G357" s="57"/>
      <c r="H357" s="57"/>
      <c r="I357" s="57"/>
      <c r="J357" s="54"/>
      <c r="K357" s="54"/>
    </row>
    <row r="358" spans="1:11" s="43" customFormat="1" hidden="1" x14ac:dyDescent="0.2">
      <c r="A358" s="54"/>
      <c r="B358" s="54"/>
      <c r="C358" s="54"/>
      <c r="D358" s="54"/>
      <c r="E358" s="54"/>
      <c r="F358" s="57"/>
      <c r="G358" s="57"/>
      <c r="H358" s="57"/>
      <c r="I358" s="57"/>
      <c r="J358" s="54"/>
      <c r="K358" s="54"/>
    </row>
    <row r="359" spans="1:11" s="43" customFormat="1" hidden="1" x14ac:dyDescent="0.2">
      <c r="A359" s="54"/>
      <c r="B359" s="54"/>
      <c r="C359" s="54"/>
      <c r="D359" s="54"/>
      <c r="E359" s="54"/>
      <c r="F359" s="57"/>
      <c r="G359" s="57"/>
      <c r="H359" s="57"/>
      <c r="I359" s="57"/>
      <c r="J359" s="54"/>
      <c r="K359" s="54"/>
    </row>
    <row r="360" spans="1:11" s="43" customFormat="1" hidden="1" x14ac:dyDescent="0.2">
      <c r="A360" s="54"/>
      <c r="B360" s="54"/>
      <c r="C360" s="54"/>
      <c r="D360" s="54"/>
      <c r="E360" s="54"/>
      <c r="F360" s="57"/>
      <c r="G360" s="57"/>
      <c r="H360" s="57"/>
      <c r="I360" s="57"/>
      <c r="J360" s="54"/>
      <c r="K360" s="54"/>
    </row>
    <row r="361" spans="1:11" s="43" customFormat="1" hidden="1" x14ac:dyDescent="0.2">
      <c r="A361" s="54"/>
      <c r="B361" s="54"/>
      <c r="C361" s="54"/>
      <c r="D361" s="54"/>
      <c r="E361" s="54"/>
      <c r="F361" s="57"/>
      <c r="G361" s="57"/>
      <c r="H361" s="57"/>
      <c r="I361" s="57"/>
      <c r="J361" s="54"/>
      <c r="K361" s="54"/>
    </row>
    <row r="362" spans="1:11" s="43" customFormat="1" hidden="1" x14ac:dyDescent="0.2">
      <c r="A362" s="54"/>
      <c r="B362" s="54"/>
      <c r="C362" s="54"/>
      <c r="D362" s="54"/>
      <c r="E362" s="54"/>
      <c r="F362" s="57"/>
      <c r="G362" s="57"/>
      <c r="H362" s="57"/>
      <c r="I362" s="57"/>
      <c r="J362" s="54"/>
      <c r="K362" s="54"/>
    </row>
    <row r="363" spans="1:11" s="43" customFormat="1" hidden="1" x14ac:dyDescent="0.2">
      <c r="A363" s="54"/>
      <c r="B363" s="54"/>
      <c r="C363" s="54"/>
      <c r="D363" s="54"/>
      <c r="E363" s="54"/>
      <c r="F363" s="57"/>
      <c r="G363" s="57"/>
      <c r="H363" s="57"/>
      <c r="I363" s="57"/>
      <c r="J363" s="54"/>
      <c r="K363" s="54"/>
    </row>
    <row r="364" spans="1:11" s="43" customFormat="1" hidden="1" x14ac:dyDescent="0.2">
      <c r="A364" s="54"/>
      <c r="B364" s="54"/>
      <c r="C364" s="54"/>
      <c r="D364" s="54"/>
      <c r="E364" s="54"/>
      <c r="F364" s="57"/>
      <c r="G364" s="57"/>
      <c r="H364" s="57"/>
      <c r="I364" s="57"/>
      <c r="J364" s="54"/>
      <c r="K364" s="54"/>
    </row>
    <row r="365" spans="1:11" s="43" customFormat="1" hidden="1" x14ac:dyDescent="0.2">
      <c r="A365" s="54"/>
      <c r="B365" s="54"/>
      <c r="C365" s="54"/>
      <c r="D365" s="54"/>
      <c r="E365" s="54"/>
      <c r="F365" s="57"/>
      <c r="G365" s="57"/>
      <c r="H365" s="57"/>
      <c r="I365" s="57"/>
      <c r="J365" s="54"/>
      <c r="K365" s="54"/>
    </row>
    <row r="366" spans="1:11" s="43" customFormat="1" hidden="1" x14ac:dyDescent="0.2">
      <c r="A366" s="54"/>
      <c r="B366" s="54"/>
      <c r="C366" s="54"/>
      <c r="D366" s="54"/>
      <c r="E366" s="54"/>
      <c r="F366" s="57"/>
      <c r="G366" s="57"/>
      <c r="H366" s="57"/>
      <c r="I366" s="57"/>
      <c r="J366" s="54"/>
      <c r="K366" s="54"/>
    </row>
    <row r="367" spans="1:11" s="43" customFormat="1" hidden="1" x14ac:dyDescent="0.2">
      <c r="A367" s="54"/>
      <c r="B367" s="54"/>
      <c r="C367" s="54"/>
      <c r="D367" s="54"/>
      <c r="E367" s="54"/>
      <c r="F367" s="57"/>
      <c r="G367" s="57"/>
      <c r="H367" s="57"/>
      <c r="I367" s="57"/>
      <c r="J367" s="54"/>
      <c r="K367" s="54"/>
    </row>
    <row r="368" spans="1:11" s="43" customFormat="1" hidden="1" x14ac:dyDescent="0.2">
      <c r="A368" s="54"/>
      <c r="B368" s="54"/>
      <c r="C368" s="54"/>
      <c r="D368" s="54"/>
      <c r="E368" s="54"/>
      <c r="F368" s="57"/>
      <c r="G368" s="57"/>
      <c r="H368" s="57"/>
      <c r="I368" s="57"/>
      <c r="J368" s="54"/>
      <c r="K368" s="54"/>
    </row>
    <row r="369" spans="1:11" s="43" customFormat="1" hidden="1" x14ac:dyDescent="0.2">
      <c r="A369" s="54"/>
      <c r="B369" s="54"/>
      <c r="C369" s="54"/>
      <c r="D369" s="54"/>
      <c r="E369" s="54"/>
      <c r="F369" s="57"/>
      <c r="G369" s="57"/>
      <c r="H369" s="57"/>
      <c r="I369" s="57"/>
      <c r="J369" s="54"/>
      <c r="K369" s="54"/>
    </row>
    <row r="370" spans="1:11" s="43" customFormat="1" hidden="1" x14ac:dyDescent="0.2">
      <c r="A370" s="54"/>
      <c r="B370" s="54"/>
      <c r="C370" s="54"/>
      <c r="D370" s="54"/>
      <c r="E370" s="54"/>
      <c r="F370" s="57"/>
      <c r="G370" s="57"/>
      <c r="H370" s="57"/>
      <c r="I370" s="57"/>
      <c r="J370" s="54"/>
      <c r="K370" s="54"/>
    </row>
    <row r="371" spans="1:11" s="43" customFormat="1" hidden="1" x14ac:dyDescent="0.2">
      <c r="A371" s="54"/>
      <c r="B371" s="54"/>
      <c r="C371" s="54"/>
      <c r="D371" s="54"/>
      <c r="E371" s="54"/>
      <c r="F371" s="57"/>
      <c r="G371" s="57"/>
      <c r="H371" s="57"/>
      <c r="I371" s="57"/>
      <c r="J371" s="54"/>
      <c r="K371" s="54"/>
    </row>
    <row r="372" spans="1:11" s="43" customFormat="1" hidden="1" x14ac:dyDescent="0.2">
      <c r="A372" s="54"/>
      <c r="B372" s="54"/>
      <c r="C372" s="54"/>
      <c r="D372" s="54"/>
      <c r="E372" s="54"/>
      <c r="F372" s="57"/>
      <c r="G372" s="57"/>
      <c r="H372" s="57"/>
      <c r="I372" s="57"/>
      <c r="J372" s="54"/>
      <c r="K372" s="54"/>
    </row>
    <row r="373" spans="1:11" s="43" customFormat="1" hidden="1" x14ac:dyDescent="0.2">
      <c r="A373" s="54"/>
      <c r="B373" s="54"/>
      <c r="C373" s="54"/>
      <c r="D373" s="54"/>
      <c r="E373" s="54"/>
      <c r="F373" s="57"/>
      <c r="G373" s="57"/>
      <c r="H373" s="57"/>
      <c r="I373" s="57"/>
      <c r="J373" s="54"/>
      <c r="K373" s="54"/>
    </row>
    <row r="374" spans="1:11" s="43" customFormat="1" hidden="1" x14ac:dyDescent="0.2">
      <c r="A374" s="54"/>
      <c r="B374" s="54"/>
      <c r="C374" s="54"/>
      <c r="D374" s="54"/>
      <c r="E374" s="54"/>
      <c r="F374" s="57"/>
      <c r="G374" s="57"/>
      <c r="H374" s="57"/>
      <c r="I374" s="57"/>
      <c r="J374" s="54"/>
      <c r="K374" s="54"/>
    </row>
    <row r="375" spans="1:11" s="43" customFormat="1" hidden="1" x14ac:dyDescent="0.2">
      <c r="A375" s="54"/>
      <c r="B375" s="54"/>
      <c r="C375" s="54"/>
      <c r="D375" s="54"/>
      <c r="E375" s="54"/>
      <c r="F375" s="57"/>
      <c r="G375" s="57"/>
      <c r="H375" s="57"/>
      <c r="I375" s="57"/>
      <c r="J375" s="54"/>
      <c r="K375" s="54"/>
    </row>
    <row r="376" spans="1:11" s="43" customFormat="1" hidden="1" x14ac:dyDescent="0.2">
      <c r="A376" s="54"/>
      <c r="B376" s="54"/>
      <c r="C376" s="54"/>
      <c r="D376" s="54"/>
      <c r="E376" s="54"/>
      <c r="F376" s="57"/>
      <c r="G376" s="57"/>
      <c r="H376" s="57"/>
      <c r="I376" s="57"/>
      <c r="J376" s="54"/>
      <c r="K376" s="54"/>
    </row>
    <row r="377" spans="1:11" s="43" customFormat="1" hidden="1" x14ac:dyDescent="0.2">
      <c r="A377" s="54"/>
      <c r="B377" s="54"/>
      <c r="C377" s="54"/>
      <c r="D377" s="54"/>
      <c r="E377" s="54"/>
      <c r="F377" s="57"/>
      <c r="G377" s="57"/>
      <c r="H377" s="57"/>
      <c r="I377" s="57"/>
      <c r="J377" s="54"/>
      <c r="K377" s="54"/>
    </row>
    <row r="378" spans="1:11" s="43" customFormat="1" hidden="1" x14ac:dyDescent="0.2">
      <c r="A378" s="54"/>
      <c r="B378" s="54"/>
      <c r="C378" s="54"/>
      <c r="D378" s="54"/>
      <c r="E378" s="54"/>
      <c r="F378" s="57"/>
      <c r="G378" s="57"/>
      <c r="H378" s="57"/>
      <c r="I378" s="57"/>
      <c r="J378" s="54"/>
      <c r="K378" s="54"/>
    </row>
    <row r="379" spans="1:11" s="43" customFormat="1" hidden="1" x14ac:dyDescent="0.2">
      <c r="A379" s="54"/>
      <c r="B379" s="54"/>
      <c r="C379" s="54"/>
      <c r="D379" s="54"/>
      <c r="E379" s="54"/>
      <c r="F379" s="57"/>
      <c r="G379" s="57"/>
      <c r="H379" s="57"/>
      <c r="I379" s="57"/>
      <c r="J379" s="54"/>
      <c r="K379" s="54"/>
    </row>
    <row r="380" spans="1:11" s="43" customFormat="1" hidden="1" x14ac:dyDescent="0.2">
      <c r="A380" s="54"/>
      <c r="B380" s="54"/>
      <c r="C380" s="54"/>
      <c r="D380" s="54"/>
      <c r="E380" s="54"/>
      <c r="F380" s="57"/>
      <c r="G380" s="57"/>
      <c r="H380" s="57"/>
      <c r="I380" s="57"/>
      <c r="J380" s="54"/>
      <c r="K380" s="54"/>
    </row>
    <row r="381" spans="1:11" s="43" customFormat="1" hidden="1" x14ac:dyDescent="0.2">
      <c r="A381" s="54"/>
      <c r="B381" s="54"/>
      <c r="C381" s="54"/>
      <c r="D381" s="54"/>
      <c r="E381" s="54"/>
      <c r="F381" s="57"/>
      <c r="G381" s="57"/>
      <c r="H381" s="57"/>
      <c r="I381" s="57"/>
      <c r="J381" s="54"/>
      <c r="K381" s="54"/>
    </row>
    <row r="382" spans="1:11" s="43" customFormat="1" hidden="1" x14ac:dyDescent="0.2">
      <c r="A382" s="54"/>
      <c r="B382" s="54"/>
      <c r="C382" s="54"/>
      <c r="D382" s="54"/>
      <c r="E382" s="54"/>
      <c r="F382" s="57"/>
      <c r="G382" s="57"/>
      <c r="H382" s="57"/>
      <c r="I382" s="57"/>
      <c r="J382" s="54"/>
      <c r="K382" s="54"/>
    </row>
    <row r="383" spans="1:11" s="43" customFormat="1" hidden="1" x14ac:dyDescent="0.2">
      <c r="A383" s="54"/>
      <c r="B383" s="54"/>
      <c r="C383" s="54"/>
      <c r="D383" s="54"/>
      <c r="E383" s="54"/>
      <c r="F383" s="57"/>
      <c r="G383" s="57"/>
      <c r="H383" s="57"/>
      <c r="I383" s="57"/>
      <c r="J383" s="54"/>
      <c r="K383" s="54"/>
    </row>
    <row r="384" spans="1:11" s="43" customFormat="1" hidden="1" x14ac:dyDescent="0.2">
      <c r="A384" s="54"/>
      <c r="B384" s="54"/>
      <c r="C384" s="54"/>
      <c r="D384" s="54"/>
      <c r="E384" s="54"/>
      <c r="F384" s="57"/>
      <c r="G384" s="57"/>
      <c r="H384" s="57"/>
      <c r="I384" s="57"/>
      <c r="J384" s="54"/>
      <c r="K384" s="54"/>
    </row>
    <row r="385" spans="1:11" s="43" customFormat="1" hidden="1" x14ac:dyDescent="0.2">
      <c r="A385" s="54"/>
      <c r="B385" s="54"/>
      <c r="C385" s="54"/>
      <c r="D385" s="54"/>
      <c r="E385" s="54"/>
      <c r="F385" s="57"/>
      <c r="G385" s="57"/>
      <c r="H385" s="57"/>
      <c r="I385" s="57"/>
      <c r="J385" s="54"/>
      <c r="K385" s="54"/>
    </row>
    <row r="386" spans="1:11" s="43" customFormat="1" hidden="1" x14ac:dyDescent="0.2">
      <c r="A386" s="54"/>
      <c r="B386" s="54"/>
      <c r="C386" s="54"/>
      <c r="D386" s="54"/>
      <c r="E386" s="54"/>
      <c r="F386" s="57"/>
      <c r="G386" s="57"/>
      <c r="H386" s="57"/>
      <c r="I386" s="57"/>
      <c r="J386" s="54"/>
      <c r="K386" s="54"/>
    </row>
    <row r="387" spans="1:11" s="43" customFormat="1" hidden="1" x14ac:dyDescent="0.2">
      <c r="A387" s="54"/>
      <c r="B387" s="54"/>
      <c r="C387" s="54"/>
      <c r="D387" s="54"/>
      <c r="E387" s="54"/>
      <c r="F387" s="57"/>
      <c r="G387" s="57"/>
      <c r="H387" s="57"/>
      <c r="I387" s="57"/>
      <c r="J387" s="54"/>
      <c r="K387" s="54"/>
    </row>
    <row r="388" spans="1:11" s="43" customFormat="1" hidden="1" x14ac:dyDescent="0.2">
      <c r="A388" s="54"/>
      <c r="B388" s="54"/>
      <c r="C388" s="54"/>
      <c r="D388" s="54"/>
      <c r="E388" s="54"/>
      <c r="F388" s="57"/>
      <c r="G388" s="57"/>
      <c r="H388" s="57"/>
      <c r="I388" s="57"/>
      <c r="J388" s="54"/>
      <c r="K388" s="54"/>
    </row>
    <row r="389" spans="1:11" s="43" customFormat="1" hidden="1" x14ac:dyDescent="0.2">
      <c r="A389" s="54"/>
      <c r="B389" s="54"/>
      <c r="C389" s="54"/>
      <c r="D389" s="54"/>
      <c r="E389" s="54"/>
      <c r="F389" s="57"/>
      <c r="G389" s="57"/>
      <c r="H389" s="57"/>
      <c r="I389" s="57"/>
      <c r="J389" s="54"/>
      <c r="K389" s="54"/>
    </row>
    <row r="390" spans="1:11" s="43" customFormat="1" hidden="1" x14ac:dyDescent="0.2">
      <c r="A390" s="54"/>
      <c r="B390" s="54"/>
      <c r="C390" s="54"/>
      <c r="D390" s="54"/>
      <c r="E390" s="54"/>
      <c r="F390" s="57"/>
      <c r="G390" s="57"/>
      <c r="H390" s="57"/>
      <c r="I390" s="57"/>
      <c r="J390" s="54"/>
      <c r="K390" s="54"/>
    </row>
    <row r="391" spans="1:11" s="43" customFormat="1" hidden="1" x14ac:dyDescent="0.2">
      <c r="A391" s="54"/>
      <c r="B391" s="54"/>
      <c r="C391" s="54"/>
      <c r="D391" s="54"/>
      <c r="E391" s="54"/>
      <c r="F391" s="57"/>
      <c r="G391" s="57"/>
      <c r="H391" s="57"/>
      <c r="I391" s="57"/>
      <c r="J391" s="54"/>
      <c r="K391" s="54"/>
    </row>
    <row r="392" spans="1:11" s="43" customFormat="1" hidden="1" x14ac:dyDescent="0.2">
      <c r="A392" s="54"/>
      <c r="B392" s="54"/>
      <c r="C392" s="54"/>
      <c r="D392" s="54"/>
      <c r="E392" s="54"/>
      <c r="F392" s="57"/>
      <c r="G392" s="57"/>
      <c r="H392" s="57"/>
      <c r="I392" s="57"/>
      <c r="J392" s="54"/>
      <c r="K392" s="54"/>
    </row>
    <row r="393" spans="1:11" s="43" customFormat="1" hidden="1" x14ac:dyDescent="0.2">
      <c r="A393" s="54"/>
      <c r="B393" s="54"/>
      <c r="C393" s="54"/>
      <c r="D393" s="54"/>
      <c r="E393" s="54"/>
      <c r="F393" s="57"/>
      <c r="G393" s="57"/>
      <c r="H393" s="57"/>
      <c r="I393" s="57"/>
      <c r="J393" s="54"/>
      <c r="K393" s="54"/>
    </row>
    <row r="394" spans="1:11" s="43" customFormat="1" hidden="1" x14ac:dyDescent="0.2">
      <c r="A394" s="54"/>
      <c r="B394" s="54"/>
      <c r="C394" s="54"/>
      <c r="D394" s="54"/>
      <c r="E394" s="54"/>
      <c r="F394" s="57"/>
      <c r="G394" s="57"/>
      <c r="H394" s="57"/>
      <c r="I394" s="57"/>
      <c r="J394" s="54"/>
      <c r="K394" s="54"/>
    </row>
    <row r="395" spans="1:11" s="43" customFormat="1" hidden="1" x14ac:dyDescent="0.2">
      <c r="A395" s="54"/>
      <c r="B395" s="54"/>
      <c r="C395" s="54"/>
      <c r="D395" s="54"/>
      <c r="E395" s="54"/>
      <c r="F395" s="57"/>
      <c r="G395" s="57"/>
      <c r="H395" s="57"/>
      <c r="I395" s="57"/>
      <c r="J395" s="54"/>
      <c r="K395" s="54"/>
    </row>
    <row r="396" spans="1:11" s="43" customFormat="1" hidden="1" x14ac:dyDescent="0.2">
      <c r="A396" s="54"/>
      <c r="B396" s="54"/>
      <c r="C396" s="54"/>
      <c r="D396" s="54"/>
      <c r="E396" s="54"/>
      <c r="F396" s="57"/>
      <c r="G396" s="57"/>
      <c r="H396" s="57"/>
      <c r="I396" s="57"/>
      <c r="J396" s="54"/>
      <c r="K396" s="54"/>
    </row>
    <row r="397" spans="1:11" s="43" customFormat="1" hidden="1" x14ac:dyDescent="0.2">
      <c r="A397" s="54"/>
      <c r="B397" s="54"/>
      <c r="C397" s="54"/>
      <c r="D397" s="54"/>
      <c r="E397" s="54"/>
      <c r="F397" s="57"/>
      <c r="G397" s="57"/>
      <c r="H397" s="57"/>
      <c r="I397" s="57"/>
      <c r="J397" s="54"/>
      <c r="K397" s="54"/>
    </row>
    <row r="398" spans="1:11" s="43" customFormat="1" hidden="1" x14ac:dyDescent="0.2">
      <c r="A398" s="54"/>
      <c r="B398" s="54"/>
      <c r="C398" s="54"/>
      <c r="D398" s="54"/>
      <c r="E398" s="54"/>
      <c r="F398" s="57"/>
      <c r="G398" s="57"/>
      <c r="H398" s="57"/>
      <c r="I398" s="57"/>
      <c r="J398" s="54"/>
      <c r="K398" s="54"/>
    </row>
    <row r="399" spans="1:11" s="43" customFormat="1" hidden="1" x14ac:dyDescent="0.2">
      <c r="A399" s="54"/>
      <c r="B399" s="54"/>
      <c r="C399" s="54"/>
      <c r="D399" s="54"/>
      <c r="E399" s="54"/>
      <c r="F399" s="57"/>
      <c r="G399" s="57"/>
      <c r="H399" s="57"/>
      <c r="I399" s="57"/>
      <c r="J399" s="54"/>
      <c r="K399" s="54"/>
    </row>
    <row r="400" spans="1:11" s="43" customFormat="1" hidden="1" x14ac:dyDescent="0.2">
      <c r="A400" s="54"/>
      <c r="B400" s="54"/>
      <c r="C400" s="54"/>
      <c r="D400" s="54"/>
      <c r="E400" s="54"/>
      <c r="F400" s="57"/>
      <c r="G400" s="57"/>
      <c r="H400" s="57"/>
      <c r="I400" s="57"/>
      <c r="J400" s="54"/>
      <c r="K400" s="54"/>
    </row>
    <row r="401" spans="1:11" s="43" customFormat="1" hidden="1" x14ac:dyDescent="0.2">
      <c r="A401" s="54"/>
      <c r="B401" s="54"/>
      <c r="C401" s="54"/>
      <c r="D401" s="54"/>
      <c r="E401" s="54"/>
      <c r="F401" s="57"/>
      <c r="G401" s="57"/>
      <c r="H401" s="57"/>
      <c r="I401" s="57"/>
      <c r="J401" s="54"/>
      <c r="K401" s="54"/>
    </row>
    <row r="402" spans="1:11" s="43" customFormat="1" hidden="1" x14ac:dyDescent="0.2">
      <c r="A402" s="54"/>
      <c r="B402" s="54"/>
      <c r="C402" s="54"/>
      <c r="D402" s="54"/>
      <c r="E402" s="54"/>
      <c r="F402" s="57"/>
      <c r="G402" s="57"/>
      <c r="H402" s="57"/>
      <c r="I402" s="57"/>
      <c r="J402" s="54"/>
      <c r="K402" s="54"/>
    </row>
    <row r="403" spans="1:11" s="43" customFormat="1" hidden="1" x14ac:dyDescent="0.2">
      <c r="A403" s="54"/>
      <c r="B403" s="54"/>
      <c r="C403" s="54"/>
      <c r="D403" s="54"/>
      <c r="E403" s="54"/>
      <c r="F403" s="57"/>
      <c r="G403" s="57"/>
      <c r="H403" s="57"/>
      <c r="I403" s="57"/>
      <c r="J403" s="54"/>
      <c r="K403" s="54"/>
    </row>
    <row r="404" spans="1:11" s="43" customFormat="1" hidden="1" x14ac:dyDescent="0.2">
      <c r="A404" s="54"/>
      <c r="B404" s="54"/>
      <c r="C404" s="54"/>
      <c r="D404" s="54"/>
      <c r="E404" s="54"/>
      <c r="F404" s="57"/>
      <c r="G404" s="57"/>
      <c r="H404" s="57"/>
      <c r="I404" s="57"/>
      <c r="J404" s="54"/>
      <c r="K404" s="54"/>
    </row>
    <row r="405" spans="1:11" s="43" customFormat="1" hidden="1" x14ac:dyDescent="0.2">
      <c r="A405" s="54"/>
      <c r="B405" s="54"/>
      <c r="C405" s="54"/>
      <c r="D405" s="54"/>
      <c r="E405" s="54"/>
      <c r="F405" s="57"/>
      <c r="G405" s="57"/>
      <c r="H405" s="57"/>
      <c r="I405" s="57"/>
      <c r="J405" s="54"/>
      <c r="K405" s="54"/>
    </row>
    <row r="406" spans="1:11" s="43" customFormat="1" hidden="1" x14ac:dyDescent="0.2">
      <c r="A406" s="54"/>
      <c r="B406" s="54"/>
      <c r="C406" s="54"/>
      <c r="D406" s="54"/>
      <c r="E406" s="54"/>
      <c r="F406" s="57"/>
      <c r="G406" s="57"/>
      <c r="H406" s="57"/>
      <c r="I406" s="57"/>
      <c r="J406" s="54"/>
      <c r="K406" s="54"/>
    </row>
    <row r="407" spans="1:11" s="43" customFormat="1" hidden="1" x14ac:dyDescent="0.2">
      <c r="A407" s="54"/>
      <c r="B407" s="54"/>
      <c r="C407" s="54"/>
      <c r="D407" s="54"/>
      <c r="E407" s="54"/>
      <c r="F407" s="57"/>
      <c r="G407" s="57"/>
      <c r="H407" s="57"/>
      <c r="I407" s="57"/>
      <c r="J407" s="54"/>
      <c r="K407" s="54"/>
    </row>
    <row r="408" spans="1:11" s="43" customFormat="1" hidden="1" x14ac:dyDescent="0.2">
      <c r="A408" s="54"/>
      <c r="B408" s="54"/>
      <c r="C408" s="54"/>
      <c r="D408" s="54"/>
      <c r="E408" s="54"/>
      <c r="F408" s="57"/>
      <c r="G408" s="57"/>
      <c r="H408" s="57"/>
      <c r="I408" s="57"/>
      <c r="J408" s="54"/>
      <c r="K408" s="54"/>
    </row>
    <row r="409" spans="1:11" s="43" customFormat="1" hidden="1" x14ac:dyDescent="0.2">
      <c r="A409" s="54"/>
      <c r="B409" s="54"/>
      <c r="C409" s="54"/>
      <c r="D409" s="54"/>
      <c r="E409" s="54"/>
      <c r="F409" s="57"/>
      <c r="G409" s="57"/>
      <c r="H409" s="57"/>
      <c r="I409" s="57"/>
      <c r="J409" s="54"/>
      <c r="K409" s="54"/>
    </row>
    <row r="410" spans="1:11" s="43" customFormat="1" hidden="1" x14ac:dyDescent="0.2">
      <c r="A410" s="54"/>
      <c r="B410" s="54"/>
      <c r="C410" s="54"/>
      <c r="D410" s="54"/>
      <c r="E410" s="54"/>
      <c r="F410" s="57"/>
      <c r="G410" s="57"/>
      <c r="H410" s="57"/>
      <c r="I410" s="57"/>
      <c r="J410" s="54"/>
      <c r="K410" s="54"/>
    </row>
    <row r="411" spans="1:11" s="43" customFormat="1" hidden="1" x14ac:dyDescent="0.2">
      <c r="A411" s="54"/>
      <c r="B411" s="54"/>
      <c r="C411" s="54"/>
      <c r="D411" s="54"/>
      <c r="E411" s="54"/>
      <c r="F411" s="57"/>
      <c r="G411" s="57"/>
      <c r="H411" s="57"/>
      <c r="I411" s="57"/>
      <c r="J411" s="54"/>
      <c r="K411" s="54"/>
    </row>
    <row r="412" spans="1:11" s="43" customFormat="1" hidden="1" x14ac:dyDescent="0.2">
      <c r="A412" s="54"/>
      <c r="B412" s="54"/>
      <c r="C412" s="54"/>
      <c r="D412" s="54"/>
      <c r="E412" s="54"/>
      <c r="F412" s="57"/>
      <c r="G412" s="57"/>
      <c r="H412" s="57"/>
      <c r="I412" s="57"/>
      <c r="J412" s="54"/>
      <c r="K412" s="54"/>
    </row>
    <row r="413" spans="1:11" s="43" customFormat="1" hidden="1" x14ac:dyDescent="0.2">
      <c r="A413" s="54"/>
      <c r="B413" s="54"/>
      <c r="C413" s="54"/>
      <c r="D413" s="54"/>
      <c r="E413" s="54"/>
      <c r="F413" s="57"/>
      <c r="G413" s="57"/>
      <c r="H413" s="57"/>
      <c r="I413" s="57"/>
      <c r="J413" s="54"/>
      <c r="K413" s="54"/>
    </row>
    <row r="414" spans="1:11" s="43" customFormat="1" hidden="1" x14ac:dyDescent="0.2">
      <c r="A414" s="54"/>
      <c r="B414" s="54"/>
      <c r="C414" s="54"/>
      <c r="D414" s="54"/>
      <c r="E414" s="54"/>
      <c r="F414" s="57"/>
      <c r="G414" s="57"/>
      <c r="H414" s="57"/>
      <c r="I414" s="57"/>
      <c r="J414" s="54"/>
      <c r="K414" s="54"/>
    </row>
    <row r="415" spans="1:11" s="43" customFormat="1" hidden="1" x14ac:dyDescent="0.2">
      <c r="A415" s="54"/>
      <c r="B415" s="54"/>
      <c r="C415" s="54"/>
      <c r="D415" s="54"/>
      <c r="E415" s="54"/>
      <c r="F415" s="57"/>
      <c r="G415" s="57"/>
      <c r="H415" s="57"/>
      <c r="I415" s="57"/>
      <c r="J415" s="54"/>
      <c r="K415" s="54"/>
    </row>
    <row r="416" spans="1:11" s="43" customFormat="1" hidden="1" x14ac:dyDescent="0.2">
      <c r="A416" s="54"/>
      <c r="B416" s="54"/>
      <c r="C416" s="54"/>
      <c r="D416" s="54"/>
      <c r="E416" s="54"/>
      <c r="F416" s="57"/>
      <c r="G416" s="57"/>
      <c r="H416" s="57"/>
      <c r="I416" s="57"/>
      <c r="J416" s="54"/>
      <c r="K416" s="54"/>
    </row>
    <row r="417" spans="1:11" s="43" customFormat="1" hidden="1" x14ac:dyDescent="0.2">
      <c r="A417" s="54"/>
      <c r="B417" s="54"/>
      <c r="C417" s="54"/>
      <c r="D417" s="54"/>
      <c r="E417" s="54"/>
      <c r="F417" s="57"/>
      <c r="G417" s="57"/>
      <c r="H417" s="57"/>
      <c r="I417" s="57"/>
      <c r="J417" s="54"/>
      <c r="K417" s="54"/>
    </row>
    <row r="418" spans="1:11" s="43" customFormat="1" hidden="1" x14ac:dyDescent="0.2">
      <c r="A418" s="54"/>
      <c r="B418" s="54"/>
      <c r="C418" s="54"/>
      <c r="D418" s="54"/>
      <c r="E418" s="54"/>
      <c r="F418" s="57"/>
      <c r="G418" s="57"/>
      <c r="H418" s="57"/>
      <c r="I418" s="57"/>
      <c r="J418" s="54"/>
      <c r="K418" s="54"/>
    </row>
    <row r="419" spans="1:11" s="43" customFormat="1" hidden="1" x14ac:dyDescent="0.2">
      <c r="A419" s="54"/>
      <c r="B419" s="54"/>
      <c r="C419" s="54"/>
      <c r="D419" s="54"/>
      <c r="E419" s="54"/>
      <c r="F419" s="57"/>
      <c r="G419" s="57"/>
      <c r="H419" s="57"/>
      <c r="I419" s="57"/>
      <c r="J419" s="54"/>
      <c r="K419" s="54"/>
    </row>
    <row r="420" spans="1:11" s="43" customFormat="1" hidden="1" x14ac:dyDescent="0.2">
      <c r="A420" s="54"/>
      <c r="B420" s="54"/>
      <c r="C420" s="54"/>
      <c r="D420" s="54"/>
      <c r="E420" s="54"/>
      <c r="F420" s="57"/>
      <c r="G420" s="57"/>
      <c r="H420" s="57"/>
      <c r="I420" s="57"/>
      <c r="J420" s="54"/>
      <c r="K420" s="54"/>
    </row>
    <row r="421" spans="1:11" s="43" customFormat="1" hidden="1" x14ac:dyDescent="0.2">
      <c r="A421" s="54"/>
      <c r="B421" s="54"/>
      <c r="C421" s="54"/>
      <c r="D421" s="54"/>
      <c r="E421" s="54"/>
      <c r="F421" s="57"/>
      <c r="G421" s="57"/>
      <c r="H421" s="57"/>
      <c r="I421" s="57"/>
      <c r="J421" s="54"/>
      <c r="K421" s="54"/>
    </row>
    <row r="422" spans="1:11" s="43" customFormat="1" hidden="1" x14ac:dyDescent="0.2">
      <c r="A422" s="54"/>
      <c r="B422" s="54"/>
      <c r="C422" s="54"/>
      <c r="D422" s="54"/>
      <c r="E422" s="54"/>
      <c r="F422" s="57"/>
      <c r="G422" s="57"/>
      <c r="H422" s="57"/>
      <c r="I422" s="57"/>
      <c r="J422" s="54"/>
      <c r="K422" s="54"/>
    </row>
    <row r="423" spans="1:11" s="43" customFormat="1" hidden="1" x14ac:dyDescent="0.2">
      <c r="A423" s="54"/>
      <c r="B423" s="54"/>
      <c r="C423" s="54"/>
      <c r="D423" s="54"/>
      <c r="E423" s="54"/>
      <c r="F423" s="57"/>
      <c r="G423" s="57"/>
      <c r="H423" s="57"/>
      <c r="I423" s="57"/>
      <c r="J423" s="54"/>
      <c r="K423" s="54"/>
    </row>
    <row r="424" spans="1:11" s="43" customFormat="1" hidden="1" x14ac:dyDescent="0.2">
      <c r="A424" s="54"/>
      <c r="B424" s="54"/>
      <c r="C424" s="54"/>
      <c r="D424" s="54"/>
      <c r="E424" s="54"/>
      <c r="F424" s="57"/>
      <c r="G424" s="57"/>
      <c r="H424" s="57"/>
      <c r="I424" s="57"/>
      <c r="J424" s="54"/>
      <c r="K424" s="54"/>
    </row>
    <row r="425" spans="1:11" s="43" customFormat="1" hidden="1" x14ac:dyDescent="0.2">
      <c r="A425" s="54"/>
      <c r="B425" s="54"/>
      <c r="C425" s="54"/>
      <c r="D425" s="54"/>
      <c r="E425" s="54"/>
      <c r="F425" s="57"/>
      <c r="G425" s="57"/>
      <c r="H425" s="57"/>
      <c r="I425" s="57"/>
      <c r="J425" s="54"/>
      <c r="K425" s="54"/>
    </row>
    <row r="426" spans="1:11" s="43" customFormat="1" hidden="1" x14ac:dyDescent="0.2">
      <c r="A426" s="54"/>
      <c r="B426" s="54"/>
      <c r="C426" s="54"/>
      <c r="D426" s="54"/>
      <c r="E426" s="54"/>
      <c r="F426" s="57"/>
      <c r="G426" s="57"/>
      <c r="H426" s="57"/>
      <c r="I426" s="57"/>
      <c r="J426" s="54"/>
      <c r="K426" s="54"/>
    </row>
    <row r="427" spans="1:11" s="43" customFormat="1" hidden="1" x14ac:dyDescent="0.2">
      <c r="A427" s="54"/>
      <c r="B427" s="54"/>
      <c r="C427" s="54"/>
      <c r="D427" s="54"/>
      <c r="E427" s="54"/>
      <c r="F427" s="57"/>
      <c r="G427" s="57"/>
      <c r="H427" s="57"/>
      <c r="I427" s="57"/>
      <c r="J427" s="54"/>
      <c r="K427" s="54"/>
    </row>
    <row r="428" spans="1:11" s="43" customFormat="1" hidden="1" x14ac:dyDescent="0.2">
      <c r="A428" s="54"/>
      <c r="B428" s="54"/>
      <c r="C428" s="54"/>
      <c r="D428" s="54"/>
      <c r="E428" s="54"/>
      <c r="F428" s="57"/>
      <c r="G428" s="57"/>
      <c r="H428" s="57"/>
      <c r="I428" s="57"/>
      <c r="J428" s="54"/>
      <c r="K428" s="54"/>
    </row>
    <row r="429" spans="1:11" s="43" customFormat="1" hidden="1" x14ac:dyDescent="0.2">
      <c r="A429" s="54"/>
      <c r="B429" s="54"/>
      <c r="C429" s="54"/>
      <c r="D429" s="54"/>
      <c r="E429" s="54"/>
      <c r="F429" s="57"/>
      <c r="G429" s="57"/>
      <c r="H429" s="57"/>
      <c r="I429" s="57"/>
      <c r="J429" s="54"/>
      <c r="K429" s="54"/>
    </row>
    <row r="430" spans="1:11" s="43" customFormat="1" hidden="1" x14ac:dyDescent="0.2">
      <c r="A430" s="54"/>
      <c r="B430" s="54"/>
      <c r="C430" s="54"/>
      <c r="D430" s="54"/>
      <c r="E430" s="54"/>
      <c r="F430" s="57"/>
      <c r="G430" s="57"/>
      <c r="H430" s="57"/>
      <c r="I430" s="57"/>
      <c r="J430" s="54"/>
      <c r="K430" s="54"/>
    </row>
    <row r="431" spans="1:11" s="43" customFormat="1" hidden="1" x14ac:dyDescent="0.2">
      <c r="A431" s="54"/>
      <c r="B431" s="54"/>
      <c r="C431" s="54"/>
      <c r="D431" s="54"/>
      <c r="E431" s="54"/>
      <c r="F431" s="57"/>
      <c r="G431" s="57"/>
      <c r="H431" s="57"/>
      <c r="I431" s="57"/>
      <c r="J431" s="54"/>
      <c r="K431" s="54"/>
    </row>
    <row r="432" spans="1:11" s="43" customFormat="1" hidden="1" x14ac:dyDescent="0.2">
      <c r="A432" s="54"/>
      <c r="B432" s="54"/>
      <c r="C432" s="54"/>
      <c r="D432" s="54"/>
      <c r="E432" s="54"/>
      <c r="F432" s="57"/>
      <c r="G432" s="57"/>
      <c r="H432" s="57"/>
      <c r="I432" s="57"/>
      <c r="J432" s="54"/>
      <c r="K432" s="54"/>
    </row>
    <row r="433" spans="1:11" s="43" customFormat="1" hidden="1" x14ac:dyDescent="0.2">
      <c r="A433" s="54"/>
      <c r="B433" s="54"/>
      <c r="C433" s="54"/>
      <c r="D433" s="54"/>
      <c r="E433" s="54"/>
      <c r="F433" s="57"/>
      <c r="G433" s="57"/>
      <c r="H433" s="57"/>
      <c r="I433" s="57"/>
      <c r="J433" s="54"/>
      <c r="K433" s="54"/>
    </row>
    <row r="434" spans="1:11" s="43" customFormat="1" hidden="1" x14ac:dyDescent="0.2">
      <c r="A434" s="54"/>
      <c r="B434" s="54"/>
      <c r="C434" s="54"/>
      <c r="D434" s="54"/>
      <c r="E434" s="54"/>
      <c r="F434" s="57"/>
      <c r="G434" s="57"/>
      <c r="H434" s="57"/>
      <c r="I434" s="57"/>
      <c r="J434" s="54"/>
      <c r="K434" s="54"/>
    </row>
    <row r="435" spans="1:11" s="43" customFormat="1" hidden="1" x14ac:dyDescent="0.2">
      <c r="A435" s="54"/>
      <c r="B435" s="54"/>
      <c r="C435" s="54"/>
      <c r="D435" s="54"/>
      <c r="E435" s="54"/>
      <c r="F435" s="57"/>
      <c r="G435" s="57"/>
      <c r="H435" s="57"/>
      <c r="I435" s="57"/>
      <c r="J435" s="54"/>
      <c r="K435" s="54"/>
    </row>
    <row r="436" spans="1:11" s="43" customFormat="1" hidden="1" x14ac:dyDescent="0.2">
      <c r="A436" s="54"/>
      <c r="B436" s="54"/>
      <c r="C436" s="54"/>
      <c r="D436" s="54"/>
      <c r="E436" s="54"/>
      <c r="F436" s="57"/>
      <c r="G436" s="57"/>
      <c r="H436" s="57"/>
      <c r="I436" s="57"/>
      <c r="J436" s="54"/>
      <c r="K436" s="54"/>
    </row>
    <row r="437" spans="1:11" s="43" customFormat="1" hidden="1" x14ac:dyDescent="0.2">
      <c r="A437" s="54"/>
      <c r="B437" s="54"/>
      <c r="C437" s="54"/>
      <c r="D437" s="54"/>
      <c r="E437" s="54"/>
      <c r="F437" s="57"/>
      <c r="G437" s="57"/>
      <c r="H437" s="57"/>
      <c r="I437" s="57"/>
      <c r="J437" s="54"/>
      <c r="K437" s="54"/>
    </row>
    <row r="438" spans="1:11" s="43" customFormat="1" hidden="1" x14ac:dyDescent="0.2">
      <c r="A438" s="54"/>
      <c r="B438" s="54"/>
      <c r="C438" s="54"/>
      <c r="D438" s="54"/>
      <c r="E438" s="54"/>
      <c r="F438" s="57"/>
      <c r="G438" s="57"/>
      <c r="H438" s="57"/>
      <c r="I438" s="57"/>
      <c r="J438" s="54"/>
      <c r="K438" s="54"/>
    </row>
    <row r="439" spans="1:11" s="43" customFormat="1" hidden="1" x14ac:dyDescent="0.2">
      <c r="A439" s="54"/>
      <c r="B439" s="54"/>
      <c r="C439" s="54"/>
      <c r="D439" s="54"/>
      <c r="E439" s="54"/>
      <c r="F439" s="57"/>
      <c r="G439" s="57"/>
      <c r="H439" s="57"/>
      <c r="I439" s="57"/>
      <c r="J439" s="54"/>
      <c r="K439" s="54"/>
    </row>
    <row r="440" spans="1:11" s="43" customFormat="1" hidden="1" x14ac:dyDescent="0.2">
      <c r="A440" s="54"/>
      <c r="B440" s="54"/>
      <c r="C440" s="54"/>
      <c r="D440" s="54"/>
      <c r="E440" s="54"/>
      <c r="F440" s="57"/>
      <c r="G440" s="57"/>
      <c r="H440" s="57"/>
      <c r="I440" s="57"/>
      <c r="J440" s="54"/>
      <c r="K440" s="54"/>
    </row>
    <row r="441" spans="1:11" s="43" customFormat="1" hidden="1" x14ac:dyDescent="0.2">
      <c r="A441" s="54"/>
      <c r="B441" s="54"/>
      <c r="C441" s="54"/>
      <c r="D441" s="54"/>
      <c r="E441" s="54"/>
      <c r="F441" s="57"/>
      <c r="G441" s="57"/>
      <c r="H441" s="57"/>
      <c r="I441" s="57"/>
      <c r="J441" s="54"/>
      <c r="K441" s="54"/>
    </row>
    <row r="442" spans="1:11" s="43" customFormat="1" hidden="1" x14ac:dyDescent="0.2">
      <c r="A442" s="54"/>
      <c r="B442" s="54"/>
      <c r="C442" s="54"/>
      <c r="D442" s="54"/>
      <c r="E442" s="54"/>
      <c r="F442" s="57"/>
      <c r="G442" s="57"/>
      <c r="H442" s="57"/>
      <c r="I442" s="57"/>
      <c r="J442" s="54"/>
      <c r="K442" s="54"/>
    </row>
    <row r="443" spans="1:11" s="43" customFormat="1" hidden="1" x14ac:dyDescent="0.2">
      <c r="A443" s="54"/>
      <c r="B443" s="54"/>
      <c r="C443" s="54"/>
      <c r="D443" s="54"/>
      <c r="E443" s="54"/>
      <c r="F443" s="57"/>
      <c r="G443" s="57"/>
      <c r="H443" s="57"/>
      <c r="I443" s="57"/>
      <c r="J443" s="54"/>
      <c r="K443" s="54"/>
    </row>
    <row r="444" spans="1:11" s="43" customFormat="1" hidden="1" x14ac:dyDescent="0.2">
      <c r="A444" s="54"/>
      <c r="B444" s="54"/>
      <c r="C444" s="54"/>
      <c r="D444" s="54"/>
      <c r="E444" s="54"/>
      <c r="F444" s="57"/>
      <c r="G444" s="57"/>
      <c r="H444" s="57"/>
      <c r="I444" s="57"/>
      <c r="J444" s="54"/>
      <c r="K444" s="54"/>
    </row>
    <row r="445" spans="1:11" s="43" customFormat="1" hidden="1" x14ac:dyDescent="0.2">
      <c r="A445" s="54"/>
      <c r="B445" s="54"/>
      <c r="C445" s="54"/>
      <c r="D445" s="54"/>
      <c r="E445" s="54"/>
      <c r="F445" s="57"/>
      <c r="G445" s="57"/>
      <c r="H445" s="57"/>
      <c r="I445" s="57"/>
      <c r="J445" s="54"/>
      <c r="K445" s="54"/>
    </row>
    <row r="446" spans="1:11" s="43" customFormat="1" hidden="1" x14ac:dyDescent="0.2">
      <c r="A446" s="54"/>
      <c r="B446" s="54"/>
      <c r="C446" s="54"/>
      <c r="D446" s="54"/>
      <c r="E446" s="54"/>
      <c r="F446" s="57"/>
      <c r="G446" s="57"/>
      <c r="H446" s="57"/>
      <c r="I446" s="57"/>
      <c r="J446" s="54"/>
      <c r="K446" s="54"/>
    </row>
    <row r="447" spans="1:11" s="43" customFormat="1" hidden="1" x14ac:dyDescent="0.2">
      <c r="A447" s="54"/>
      <c r="B447" s="54"/>
      <c r="C447" s="54"/>
      <c r="D447" s="54"/>
      <c r="E447" s="54"/>
      <c r="F447" s="57"/>
      <c r="G447" s="57"/>
      <c r="H447" s="57"/>
      <c r="I447" s="57"/>
      <c r="J447" s="54"/>
      <c r="K447" s="54"/>
    </row>
    <row r="448" spans="1:11" s="43" customFormat="1" hidden="1" x14ac:dyDescent="0.2">
      <c r="A448" s="54"/>
      <c r="B448" s="54"/>
      <c r="C448" s="54"/>
      <c r="D448" s="54"/>
      <c r="E448" s="54"/>
      <c r="F448" s="57"/>
      <c r="G448" s="57"/>
      <c r="H448" s="57"/>
      <c r="I448" s="57"/>
      <c r="J448" s="54"/>
      <c r="K448" s="54"/>
    </row>
    <row r="449" spans="1:11" s="43" customFormat="1" hidden="1" x14ac:dyDescent="0.2">
      <c r="A449" s="54"/>
      <c r="B449" s="54"/>
      <c r="C449" s="54"/>
      <c r="D449" s="54"/>
      <c r="E449" s="54"/>
      <c r="F449" s="57"/>
      <c r="G449" s="57"/>
      <c r="H449" s="57"/>
      <c r="I449" s="57"/>
      <c r="J449" s="54"/>
      <c r="K449" s="54"/>
    </row>
    <row r="450" spans="1:11" s="43" customFormat="1" hidden="1" x14ac:dyDescent="0.2">
      <c r="A450" s="54"/>
      <c r="B450" s="54"/>
      <c r="C450" s="54"/>
      <c r="D450" s="54"/>
      <c r="E450" s="54"/>
      <c r="F450" s="57"/>
      <c r="G450" s="57"/>
      <c r="H450" s="57"/>
      <c r="I450" s="57"/>
      <c r="J450" s="54"/>
      <c r="K450" s="54"/>
    </row>
    <row r="451" spans="1:11" s="43" customFormat="1" hidden="1" x14ac:dyDescent="0.2">
      <c r="A451" s="54"/>
      <c r="B451" s="54"/>
      <c r="C451" s="54"/>
      <c r="D451" s="54"/>
      <c r="E451" s="54"/>
      <c r="F451" s="57"/>
      <c r="G451" s="57"/>
      <c r="H451" s="57"/>
      <c r="I451" s="57"/>
      <c r="J451" s="54"/>
      <c r="K451" s="54"/>
    </row>
    <row r="452" spans="1:11" s="43" customFormat="1" hidden="1" x14ac:dyDescent="0.2">
      <c r="A452" s="54"/>
      <c r="B452" s="54"/>
      <c r="C452" s="54"/>
      <c r="D452" s="54"/>
      <c r="E452" s="54"/>
      <c r="F452" s="57"/>
      <c r="G452" s="57"/>
      <c r="H452" s="57"/>
      <c r="I452" s="57"/>
      <c r="J452" s="54"/>
      <c r="K452" s="54"/>
    </row>
    <row r="453" spans="1:11" s="43" customFormat="1" hidden="1" x14ac:dyDescent="0.2">
      <c r="A453" s="54"/>
      <c r="B453" s="54"/>
      <c r="C453" s="54"/>
      <c r="D453" s="54"/>
      <c r="E453" s="54"/>
      <c r="F453" s="57"/>
      <c r="G453" s="57"/>
      <c r="H453" s="57"/>
      <c r="I453" s="57"/>
      <c r="J453" s="54"/>
      <c r="K453" s="54"/>
    </row>
    <row r="454" spans="1:11" s="43" customFormat="1" hidden="1" x14ac:dyDescent="0.2">
      <c r="A454" s="54"/>
      <c r="B454" s="54"/>
      <c r="C454" s="54"/>
      <c r="D454" s="54"/>
      <c r="E454" s="54"/>
      <c r="F454" s="57"/>
      <c r="G454" s="57"/>
      <c r="H454" s="57"/>
      <c r="I454" s="57"/>
      <c r="J454" s="54"/>
      <c r="K454" s="54"/>
    </row>
    <row r="455" spans="1:11" s="43" customFormat="1" hidden="1" x14ac:dyDescent="0.2">
      <c r="A455" s="54"/>
      <c r="B455" s="54"/>
      <c r="C455" s="54"/>
      <c r="D455" s="54"/>
      <c r="E455" s="54"/>
      <c r="F455" s="57"/>
      <c r="G455" s="57"/>
      <c r="H455" s="57"/>
      <c r="I455" s="57"/>
      <c r="J455" s="54"/>
      <c r="K455" s="54"/>
    </row>
    <row r="456" spans="1:11" s="43" customFormat="1" hidden="1" x14ac:dyDescent="0.2">
      <c r="A456" s="54"/>
      <c r="B456" s="54"/>
      <c r="C456" s="54"/>
      <c r="D456" s="54"/>
      <c r="E456" s="54"/>
      <c r="F456" s="57"/>
      <c r="G456" s="57"/>
      <c r="H456" s="57"/>
      <c r="I456" s="57"/>
      <c r="J456" s="54"/>
      <c r="K456" s="54"/>
    </row>
    <row r="457" spans="1:11" s="43" customFormat="1" hidden="1" x14ac:dyDescent="0.2">
      <c r="A457" s="54"/>
      <c r="B457" s="54"/>
      <c r="C457" s="54"/>
      <c r="D457" s="54"/>
      <c r="E457" s="54"/>
      <c r="F457" s="57"/>
      <c r="G457" s="57"/>
      <c r="H457" s="57"/>
      <c r="I457" s="57"/>
      <c r="J457" s="54"/>
      <c r="K457" s="54"/>
    </row>
    <row r="458" spans="1:11" s="43" customFormat="1" hidden="1" x14ac:dyDescent="0.2">
      <c r="A458" s="54"/>
      <c r="B458" s="54"/>
      <c r="C458" s="54"/>
      <c r="D458" s="54"/>
      <c r="E458" s="54"/>
      <c r="F458" s="57"/>
      <c r="G458" s="57"/>
      <c r="H458" s="57"/>
      <c r="I458" s="57"/>
      <c r="J458" s="54"/>
      <c r="K458" s="54"/>
    </row>
    <row r="459" spans="1:11" s="43" customFormat="1" hidden="1" x14ac:dyDescent="0.2">
      <c r="A459" s="54"/>
      <c r="B459" s="54"/>
      <c r="C459" s="54"/>
      <c r="D459" s="54"/>
      <c r="E459" s="54"/>
      <c r="F459" s="57"/>
      <c r="G459" s="57"/>
      <c r="H459" s="57"/>
      <c r="I459" s="57"/>
      <c r="J459" s="54"/>
      <c r="K459" s="54"/>
    </row>
    <row r="460" spans="1:11" s="43" customFormat="1" hidden="1" x14ac:dyDescent="0.2">
      <c r="A460" s="54"/>
      <c r="B460" s="54"/>
      <c r="C460" s="54"/>
      <c r="D460" s="54"/>
      <c r="E460" s="54"/>
      <c r="F460" s="57"/>
      <c r="G460" s="57"/>
      <c r="H460" s="57"/>
      <c r="I460" s="57"/>
      <c r="J460" s="54"/>
      <c r="K460" s="54"/>
    </row>
    <row r="461" spans="1:11" s="43" customFormat="1" hidden="1" x14ac:dyDescent="0.2">
      <c r="A461" s="54"/>
      <c r="B461" s="54"/>
      <c r="C461" s="54"/>
      <c r="D461" s="54"/>
      <c r="E461" s="54"/>
      <c r="F461" s="57"/>
      <c r="G461" s="57"/>
      <c r="H461" s="57"/>
      <c r="I461" s="57"/>
      <c r="J461" s="54"/>
      <c r="K461" s="54"/>
    </row>
    <row r="462" spans="1:11" s="43" customFormat="1" hidden="1" x14ac:dyDescent="0.2">
      <c r="A462" s="54"/>
      <c r="B462" s="54"/>
      <c r="C462" s="54"/>
      <c r="D462" s="54"/>
      <c r="E462" s="54"/>
      <c r="F462" s="57"/>
      <c r="G462" s="57"/>
      <c r="H462" s="57"/>
      <c r="I462" s="57"/>
      <c r="J462" s="54"/>
      <c r="K462" s="54"/>
    </row>
    <row r="463" spans="1:11" s="43" customFormat="1" hidden="1" x14ac:dyDescent="0.2">
      <c r="A463" s="54"/>
      <c r="B463" s="54"/>
      <c r="C463" s="54"/>
      <c r="D463" s="54"/>
      <c r="E463" s="54"/>
      <c r="F463" s="57"/>
      <c r="G463" s="57"/>
      <c r="H463" s="57"/>
      <c r="I463" s="57"/>
      <c r="J463" s="54"/>
      <c r="K463" s="54"/>
    </row>
    <row r="464" spans="1:11" s="43" customFormat="1" hidden="1" x14ac:dyDescent="0.2">
      <c r="A464" s="54"/>
      <c r="B464" s="54"/>
      <c r="C464" s="54"/>
      <c r="D464" s="54"/>
      <c r="E464" s="54"/>
      <c r="F464" s="57"/>
      <c r="G464" s="57"/>
      <c r="H464" s="57"/>
      <c r="I464" s="57"/>
      <c r="J464" s="54"/>
      <c r="K464" s="54"/>
    </row>
    <row r="465" spans="1:11" s="43" customFormat="1" hidden="1" x14ac:dyDescent="0.2">
      <c r="A465" s="54"/>
      <c r="B465" s="54"/>
      <c r="C465" s="54"/>
      <c r="D465" s="54"/>
      <c r="E465" s="54"/>
      <c r="F465" s="57"/>
      <c r="G465" s="57"/>
      <c r="H465" s="57"/>
      <c r="I465" s="57"/>
      <c r="J465" s="54"/>
      <c r="K465" s="54"/>
    </row>
    <row r="466" spans="1:11" s="43" customFormat="1" hidden="1" x14ac:dyDescent="0.2">
      <c r="A466" s="54"/>
      <c r="B466" s="54"/>
      <c r="C466" s="54"/>
      <c r="D466" s="54"/>
      <c r="E466" s="54"/>
      <c r="F466" s="57"/>
      <c r="G466" s="57"/>
      <c r="H466" s="57"/>
      <c r="I466" s="57"/>
      <c r="J466" s="54"/>
      <c r="K466" s="54"/>
    </row>
    <row r="467" spans="1:11" s="43" customFormat="1" hidden="1" x14ac:dyDescent="0.2">
      <c r="A467" s="54"/>
      <c r="B467" s="54"/>
      <c r="C467" s="54"/>
      <c r="D467" s="54"/>
      <c r="E467" s="54"/>
      <c r="F467" s="57"/>
      <c r="G467" s="57"/>
      <c r="H467" s="57"/>
      <c r="I467" s="57"/>
      <c r="J467" s="54"/>
      <c r="K467" s="54"/>
    </row>
    <row r="468" spans="1:11" s="43" customFormat="1" hidden="1" x14ac:dyDescent="0.2">
      <c r="A468" s="54"/>
      <c r="B468" s="54"/>
      <c r="C468" s="54"/>
      <c r="D468" s="54"/>
      <c r="E468" s="54"/>
      <c r="F468" s="57"/>
      <c r="G468" s="57"/>
      <c r="H468" s="57"/>
      <c r="I468" s="57"/>
      <c r="J468" s="54"/>
      <c r="K468" s="54"/>
    </row>
    <row r="469" spans="1:11" s="43" customFormat="1" hidden="1" x14ac:dyDescent="0.2">
      <c r="A469" s="54"/>
      <c r="B469" s="54"/>
      <c r="C469" s="54"/>
      <c r="D469" s="54"/>
      <c r="E469" s="54"/>
      <c r="F469" s="57"/>
      <c r="G469" s="57"/>
      <c r="H469" s="57"/>
      <c r="I469" s="57"/>
      <c r="J469" s="54"/>
      <c r="K469" s="54"/>
    </row>
    <row r="470" spans="1:11" s="43" customFormat="1" hidden="1" x14ac:dyDescent="0.2">
      <c r="A470" s="54"/>
      <c r="B470" s="54"/>
      <c r="C470" s="54"/>
      <c r="D470" s="54"/>
      <c r="E470" s="54"/>
      <c r="F470" s="57"/>
      <c r="G470" s="57"/>
      <c r="H470" s="57"/>
      <c r="I470" s="57"/>
      <c r="J470" s="54"/>
      <c r="K470" s="54"/>
    </row>
    <row r="471" spans="1:11" s="43" customFormat="1" hidden="1" x14ac:dyDescent="0.2">
      <c r="A471" s="54"/>
      <c r="B471" s="54"/>
      <c r="C471" s="54"/>
      <c r="D471" s="54"/>
      <c r="E471" s="54"/>
      <c r="F471" s="57"/>
      <c r="G471" s="57"/>
      <c r="H471" s="57"/>
      <c r="I471" s="57"/>
      <c r="J471" s="54"/>
      <c r="K471" s="54"/>
    </row>
    <row r="472" spans="1:11" s="43" customFormat="1" hidden="1" x14ac:dyDescent="0.2">
      <c r="A472" s="54"/>
      <c r="B472" s="54"/>
      <c r="C472" s="54"/>
      <c r="D472" s="54"/>
      <c r="E472" s="54"/>
      <c r="F472" s="57"/>
      <c r="G472" s="57"/>
      <c r="H472" s="57"/>
      <c r="I472" s="57"/>
      <c r="J472" s="54"/>
      <c r="K472" s="54"/>
    </row>
    <row r="473" spans="1:11" s="43" customFormat="1" hidden="1" x14ac:dyDescent="0.2">
      <c r="A473" s="54"/>
      <c r="B473" s="54"/>
      <c r="C473" s="54"/>
      <c r="D473" s="54"/>
      <c r="E473" s="54"/>
      <c r="F473" s="57"/>
      <c r="G473" s="57"/>
      <c r="H473" s="57"/>
      <c r="I473" s="57"/>
      <c r="J473" s="54"/>
      <c r="K473" s="54"/>
    </row>
    <row r="474" spans="1:11" s="43" customFormat="1" hidden="1" x14ac:dyDescent="0.2">
      <c r="A474" s="54"/>
      <c r="B474" s="54"/>
      <c r="C474" s="54"/>
      <c r="D474" s="54"/>
      <c r="E474" s="54"/>
      <c r="F474" s="57"/>
      <c r="G474" s="57"/>
      <c r="H474" s="57"/>
      <c r="I474" s="57"/>
      <c r="J474" s="54"/>
      <c r="K474" s="54"/>
    </row>
    <row r="475" spans="1:11" s="43" customFormat="1" hidden="1" x14ac:dyDescent="0.2">
      <c r="A475" s="54"/>
      <c r="B475" s="54"/>
      <c r="C475" s="54"/>
      <c r="D475" s="54"/>
      <c r="E475" s="54"/>
      <c r="F475" s="57"/>
      <c r="G475" s="57"/>
      <c r="H475" s="57"/>
      <c r="I475" s="57"/>
      <c r="J475" s="54"/>
      <c r="K475" s="54"/>
    </row>
    <row r="476" spans="1:11" s="43" customFormat="1" hidden="1" x14ac:dyDescent="0.2">
      <c r="A476" s="54"/>
      <c r="B476" s="54"/>
      <c r="C476" s="54"/>
      <c r="D476" s="54"/>
      <c r="E476" s="54"/>
      <c r="F476" s="57"/>
      <c r="G476" s="57"/>
      <c r="H476" s="57"/>
      <c r="I476" s="57"/>
      <c r="J476" s="54"/>
      <c r="K476" s="54"/>
    </row>
    <row r="477" spans="1:11" s="43" customFormat="1" hidden="1" x14ac:dyDescent="0.2">
      <c r="A477" s="54"/>
      <c r="B477" s="54"/>
      <c r="C477" s="54"/>
      <c r="D477" s="54"/>
      <c r="E477" s="54"/>
      <c r="F477" s="57"/>
      <c r="G477" s="57"/>
      <c r="H477" s="57"/>
      <c r="I477" s="57"/>
      <c r="J477" s="54"/>
      <c r="K477" s="54"/>
    </row>
    <row r="478" spans="1:11" s="43" customFormat="1" hidden="1" x14ac:dyDescent="0.2">
      <c r="A478" s="54"/>
      <c r="B478" s="54"/>
      <c r="C478" s="54"/>
      <c r="D478" s="54"/>
      <c r="E478" s="54"/>
      <c r="F478" s="57"/>
      <c r="G478" s="57"/>
      <c r="H478" s="57"/>
      <c r="I478" s="57"/>
      <c r="J478" s="54"/>
      <c r="K478" s="54"/>
    </row>
    <row r="479" spans="1:11" s="43" customFormat="1" hidden="1" x14ac:dyDescent="0.2">
      <c r="A479" s="54"/>
      <c r="B479" s="54"/>
      <c r="C479" s="54"/>
      <c r="D479" s="54"/>
      <c r="E479" s="54"/>
      <c r="F479" s="57"/>
      <c r="G479" s="57"/>
      <c r="H479" s="57"/>
      <c r="I479" s="57"/>
      <c r="J479" s="54"/>
      <c r="K479" s="54"/>
    </row>
    <row r="480" spans="1:11" s="43" customFormat="1" hidden="1" x14ac:dyDescent="0.2">
      <c r="A480" s="54"/>
      <c r="B480" s="54"/>
      <c r="C480" s="54"/>
      <c r="D480" s="54"/>
      <c r="E480" s="54"/>
      <c r="F480" s="57"/>
      <c r="G480" s="57"/>
      <c r="H480" s="57"/>
      <c r="I480" s="57"/>
      <c r="J480" s="54"/>
      <c r="K480" s="54"/>
    </row>
    <row r="481" spans="1:11" s="43" customFormat="1" hidden="1" x14ac:dyDescent="0.2">
      <c r="A481" s="54"/>
      <c r="B481" s="54"/>
      <c r="C481" s="54"/>
      <c r="D481" s="54"/>
      <c r="E481" s="54"/>
      <c r="F481" s="57"/>
      <c r="G481" s="57"/>
      <c r="H481" s="57"/>
      <c r="I481" s="57"/>
      <c r="J481" s="54"/>
      <c r="K481" s="54"/>
    </row>
    <row r="482" spans="1:11" s="43" customFormat="1" hidden="1" x14ac:dyDescent="0.2">
      <c r="A482" s="54"/>
      <c r="B482" s="54"/>
      <c r="C482" s="54"/>
      <c r="D482" s="54"/>
      <c r="E482" s="54"/>
      <c r="F482" s="57"/>
      <c r="G482" s="57"/>
      <c r="H482" s="57"/>
      <c r="I482" s="57"/>
      <c r="J482" s="54"/>
      <c r="K482" s="54"/>
    </row>
    <row r="483" spans="1:11" s="43" customFormat="1" hidden="1" x14ac:dyDescent="0.2">
      <c r="A483" s="54"/>
      <c r="B483" s="54"/>
      <c r="C483" s="54"/>
      <c r="D483" s="54"/>
      <c r="E483" s="54"/>
      <c r="F483" s="57"/>
      <c r="G483" s="57"/>
      <c r="H483" s="57"/>
      <c r="I483" s="57"/>
      <c r="J483" s="54"/>
      <c r="K483" s="54"/>
    </row>
    <row r="484" spans="1:11" s="43" customFormat="1" hidden="1" x14ac:dyDescent="0.2">
      <c r="A484" s="54"/>
      <c r="B484" s="54"/>
      <c r="C484" s="54"/>
      <c r="D484" s="54"/>
      <c r="E484" s="54"/>
      <c r="F484" s="57"/>
      <c r="G484" s="57"/>
      <c r="H484" s="57"/>
      <c r="I484" s="57"/>
      <c r="J484" s="54"/>
      <c r="K484" s="54"/>
    </row>
    <row r="485" spans="1:11" s="43" customFormat="1" hidden="1" x14ac:dyDescent="0.2">
      <c r="A485" s="54"/>
      <c r="B485" s="54"/>
      <c r="C485" s="54"/>
      <c r="D485" s="54"/>
      <c r="E485" s="54"/>
      <c r="F485" s="57"/>
      <c r="G485" s="57"/>
      <c r="H485" s="57"/>
      <c r="I485" s="57"/>
      <c r="J485" s="54"/>
      <c r="K485" s="54"/>
    </row>
    <row r="486" spans="1:11" s="43" customFormat="1" hidden="1" x14ac:dyDescent="0.2">
      <c r="A486" s="54"/>
      <c r="B486" s="54"/>
      <c r="C486" s="54"/>
      <c r="D486" s="54"/>
      <c r="E486" s="54"/>
      <c r="F486" s="57"/>
      <c r="G486" s="57"/>
      <c r="H486" s="57"/>
      <c r="I486" s="57"/>
      <c r="J486" s="54"/>
      <c r="K486" s="54"/>
    </row>
    <row r="487" spans="1:11" s="43" customFormat="1" hidden="1" x14ac:dyDescent="0.2">
      <c r="A487" s="54"/>
      <c r="B487" s="54"/>
      <c r="C487" s="54"/>
      <c r="D487" s="54"/>
      <c r="E487" s="54"/>
      <c r="F487" s="57"/>
      <c r="G487" s="57"/>
      <c r="H487" s="57"/>
      <c r="I487" s="57"/>
      <c r="J487" s="54"/>
      <c r="K487" s="54"/>
    </row>
    <row r="488" spans="1:11" s="43" customFormat="1" hidden="1" x14ac:dyDescent="0.2">
      <c r="A488" s="54"/>
      <c r="B488" s="54"/>
      <c r="C488" s="54"/>
      <c r="D488" s="54"/>
      <c r="E488" s="54"/>
      <c r="F488" s="57"/>
      <c r="G488" s="57"/>
      <c r="H488" s="57"/>
      <c r="I488" s="57"/>
      <c r="J488" s="54"/>
      <c r="K488" s="54"/>
    </row>
    <row r="489" spans="1:11" s="43" customFormat="1" hidden="1" x14ac:dyDescent="0.2">
      <c r="A489" s="54"/>
      <c r="B489" s="54"/>
      <c r="C489" s="54"/>
      <c r="D489" s="54"/>
      <c r="E489" s="54"/>
      <c r="F489" s="57"/>
      <c r="G489" s="57"/>
      <c r="H489" s="57"/>
      <c r="I489" s="57"/>
      <c r="J489" s="54"/>
      <c r="K489" s="54"/>
    </row>
    <row r="490" spans="1:11" s="43" customFormat="1" hidden="1" x14ac:dyDescent="0.2">
      <c r="A490" s="54"/>
      <c r="B490" s="54"/>
      <c r="C490" s="54"/>
      <c r="D490" s="54"/>
      <c r="E490" s="54"/>
      <c r="F490" s="57"/>
      <c r="G490" s="57"/>
      <c r="H490" s="57"/>
      <c r="I490" s="57"/>
      <c r="J490" s="54"/>
      <c r="K490" s="54"/>
    </row>
    <row r="491" spans="1:11" s="43" customFormat="1" hidden="1" x14ac:dyDescent="0.2">
      <c r="A491" s="54"/>
      <c r="B491" s="54"/>
      <c r="C491" s="54"/>
      <c r="D491" s="54"/>
      <c r="E491" s="54"/>
      <c r="F491" s="57"/>
      <c r="G491" s="57"/>
      <c r="H491" s="57"/>
      <c r="I491" s="57"/>
      <c r="J491" s="54"/>
      <c r="K491" s="54"/>
    </row>
    <row r="492" spans="1:11" s="43" customFormat="1" hidden="1" x14ac:dyDescent="0.2">
      <c r="A492" s="54"/>
      <c r="B492" s="54"/>
      <c r="C492" s="54"/>
      <c r="D492" s="54"/>
      <c r="E492" s="54"/>
      <c r="F492" s="57"/>
      <c r="G492" s="57"/>
      <c r="H492" s="57"/>
      <c r="I492" s="57"/>
      <c r="J492" s="54"/>
      <c r="K492" s="54"/>
    </row>
    <row r="493" spans="1:11" s="43" customFormat="1" hidden="1" x14ac:dyDescent="0.2">
      <c r="A493" s="54"/>
      <c r="B493" s="54"/>
      <c r="C493" s="54"/>
      <c r="D493" s="54"/>
      <c r="E493" s="54"/>
      <c r="F493" s="57"/>
      <c r="G493" s="57"/>
      <c r="H493" s="57"/>
      <c r="I493" s="57"/>
      <c r="J493" s="54"/>
      <c r="K493" s="54"/>
    </row>
    <row r="494" spans="1:11" s="43" customFormat="1" hidden="1" x14ac:dyDescent="0.2">
      <c r="A494" s="54"/>
      <c r="B494" s="54"/>
      <c r="C494" s="54"/>
      <c r="D494" s="54"/>
      <c r="E494" s="54"/>
      <c r="F494" s="57"/>
      <c r="G494" s="57"/>
      <c r="H494" s="57"/>
      <c r="I494" s="57"/>
      <c r="J494" s="54"/>
      <c r="K494" s="54"/>
    </row>
    <row r="495" spans="1:11" s="43" customFormat="1" hidden="1" x14ac:dyDescent="0.2">
      <c r="A495" s="54"/>
      <c r="B495" s="54"/>
      <c r="C495" s="54"/>
      <c r="D495" s="54"/>
      <c r="E495" s="54"/>
      <c r="F495" s="57"/>
      <c r="G495" s="57"/>
      <c r="H495" s="57"/>
      <c r="I495" s="57"/>
      <c r="J495" s="54"/>
      <c r="K495" s="54"/>
    </row>
    <row r="496" spans="1:11" s="43" customFormat="1" hidden="1" x14ac:dyDescent="0.2">
      <c r="A496" s="54"/>
      <c r="B496" s="54"/>
      <c r="C496" s="54"/>
      <c r="D496" s="54"/>
      <c r="E496" s="54"/>
      <c r="F496" s="57"/>
      <c r="G496" s="57"/>
      <c r="H496" s="57"/>
      <c r="I496" s="57"/>
      <c r="J496" s="54"/>
      <c r="K496" s="54"/>
    </row>
    <row r="497" spans="1:11" s="43" customFormat="1" hidden="1" x14ac:dyDescent="0.2">
      <c r="A497" s="54"/>
      <c r="B497" s="54"/>
      <c r="C497" s="54"/>
      <c r="D497" s="54"/>
      <c r="E497" s="54"/>
      <c r="F497" s="57"/>
      <c r="G497" s="57"/>
      <c r="H497" s="57"/>
      <c r="I497" s="57"/>
      <c r="J497" s="54"/>
      <c r="K497" s="54"/>
    </row>
    <row r="498" spans="1:11" s="43" customFormat="1" hidden="1" x14ac:dyDescent="0.2">
      <c r="A498" s="54"/>
      <c r="B498" s="54"/>
      <c r="C498" s="54"/>
      <c r="D498" s="54"/>
      <c r="E498" s="54"/>
      <c r="F498" s="57"/>
      <c r="G498" s="57"/>
      <c r="H498" s="57"/>
      <c r="I498" s="57"/>
      <c r="J498" s="54"/>
      <c r="K498" s="54"/>
    </row>
    <row r="499" spans="1:11" s="43" customFormat="1" hidden="1" x14ac:dyDescent="0.2">
      <c r="A499" s="54"/>
      <c r="B499" s="54"/>
      <c r="C499" s="54"/>
      <c r="D499" s="54"/>
      <c r="E499" s="54"/>
      <c r="F499" s="57"/>
      <c r="G499" s="57"/>
      <c r="H499" s="57"/>
      <c r="I499" s="57"/>
      <c r="J499" s="54"/>
      <c r="K499" s="54"/>
    </row>
    <row r="500" spans="1:11" s="43" customFormat="1" hidden="1" x14ac:dyDescent="0.2">
      <c r="A500" s="54"/>
      <c r="B500" s="54"/>
      <c r="C500" s="54"/>
      <c r="D500" s="54"/>
      <c r="E500" s="54"/>
      <c r="F500" s="57"/>
      <c r="G500" s="57"/>
      <c r="H500" s="57"/>
      <c r="I500" s="57"/>
      <c r="J500" s="54"/>
      <c r="K500" s="54"/>
    </row>
    <row r="501" spans="1:11" s="43" customFormat="1" hidden="1" x14ac:dyDescent="0.2">
      <c r="A501" s="54"/>
      <c r="B501" s="54"/>
      <c r="C501" s="54"/>
      <c r="D501" s="54"/>
      <c r="E501" s="54"/>
      <c r="F501" s="57"/>
      <c r="G501" s="57"/>
      <c r="H501" s="57"/>
      <c r="I501" s="57"/>
      <c r="J501" s="54"/>
      <c r="K501" s="54"/>
    </row>
    <row r="502" spans="1:11" s="43" customFormat="1" hidden="1" x14ac:dyDescent="0.2">
      <c r="A502" s="54"/>
      <c r="B502" s="54"/>
      <c r="C502" s="54"/>
      <c r="D502" s="54"/>
      <c r="E502" s="54"/>
      <c r="F502" s="57"/>
      <c r="G502" s="57"/>
      <c r="H502" s="57"/>
      <c r="I502" s="57"/>
      <c r="J502" s="54"/>
      <c r="K502" s="54"/>
    </row>
    <row r="503" spans="1:11" s="43" customFormat="1" hidden="1" x14ac:dyDescent="0.2">
      <c r="A503" s="54"/>
      <c r="B503" s="54"/>
      <c r="C503" s="54"/>
      <c r="D503" s="54"/>
      <c r="E503" s="54"/>
      <c r="F503" s="57"/>
      <c r="G503" s="57"/>
      <c r="H503" s="57"/>
      <c r="I503" s="57"/>
      <c r="J503" s="54"/>
      <c r="K503" s="54"/>
    </row>
    <row r="504" spans="1:11" s="43" customFormat="1" hidden="1" x14ac:dyDescent="0.2">
      <c r="A504" s="54"/>
      <c r="B504" s="54"/>
      <c r="C504" s="54"/>
      <c r="D504" s="54"/>
      <c r="E504" s="54"/>
      <c r="F504" s="57"/>
      <c r="G504" s="57"/>
      <c r="H504" s="57"/>
      <c r="I504" s="57"/>
      <c r="J504" s="54"/>
      <c r="K504" s="54"/>
    </row>
    <row r="505" spans="1:11" s="43" customFormat="1" hidden="1" x14ac:dyDescent="0.2">
      <c r="A505" s="54"/>
      <c r="B505" s="54"/>
      <c r="C505" s="54"/>
      <c r="D505" s="54"/>
      <c r="E505" s="54"/>
      <c r="F505" s="57"/>
      <c r="G505" s="57"/>
      <c r="H505" s="57"/>
      <c r="I505" s="57"/>
      <c r="J505" s="54"/>
      <c r="K505" s="54"/>
    </row>
    <row r="506" spans="1:11" s="43" customFormat="1" hidden="1" x14ac:dyDescent="0.2">
      <c r="A506" s="54"/>
      <c r="B506" s="54"/>
      <c r="C506" s="54"/>
      <c r="D506" s="54"/>
      <c r="E506" s="54"/>
      <c r="F506" s="57"/>
      <c r="G506" s="57"/>
      <c r="H506" s="57"/>
      <c r="I506" s="57"/>
      <c r="J506" s="54"/>
      <c r="K506" s="54"/>
    </row>
    <row r="507" spans="1:11" s="43" customFormat="1" hidden="1" x14ac:dyDescent="0.2">
      <c r="A507" s="54"/>
      <c r="B507" s="54"/>
      <c r="C507" s="54"/>
      <c r="D507" s="54"/>
      <c r="E507" s="54"/>
      <c r="F507" s="57"/>
      <c r="G507" s="57"/>
      <c r="H507" s="57"/>
      <c r="I507" s="57"/>
      <c r="J507" s="54"/>
      <c r="K507" s="54"/>
    </row>
    <row r="508" spans="1:11" s="43" customFormat="1" hidden="1" x14ac:dyDescent="0.2">
      <c r="A508" s="54"/>
      <c r="B508" s="54"/>
      <c r="C508" s="54"/>
      <c r="D508" s="54"/>
      <c r="E508" s="54"/>
      <c r="F508" s="57"/>
      <c r="G508" s="57"/>
      <c r="H508" s="57"/>
      <c r="I508" s="57"/>
      <c r="J508" s="54"/>
      <c r="K508" s="54"/>
    </row>
    <row r="509" spans="1:11" s="43" customFormat="1" hidden="1" x14ac:dyDescent="0.2">
      <c r="A509" s="54"/>
      <c r="B509" s="54"/>
      <c r="C509" s="54"/>
      <c r="D509" s="54"/>
      <c r="E509" s="54"/>
      <c r="F509" s="57"/>
      <c r="G509" s="57"/>
      <c r="H509" s="57"/>
      <c r="I509" s="57"/>
      <c r="J509" s="54"/>
      <c r="K509" s="54"/>
    </row>
    <row r="510" spans="1:11" s="43" customFormat="1" hidden="1" x14ac:dyDescent="0.2">
      <c r="A510" s="54"/>
      <c r="B510" s="54"/>
      <c r="C510" s="54"/>
      <c r="D510" s="54"/>
      <c r="E510" s="54"/>
      <c r="F510" s="57"/>
      <c r="G510" s="57"/>
      <c r="H510" s="57"/>
      <c r="I510" s="57"/>
      <c r="J510" s="54"/>
      <c r="K510" s="54"/>
    </row>
    <row r="511" spans="1:11" s="43" customFormat="1" hidden="1" x14ac:dyDescent="0.2">
      <c r="A511" s="54"/>
      <c r="B511" s="54"/>
      <c r="C511" s="54"/>
      <c r="D511" s="54"/>
      <c r="E511" s="54"/>
      <c r="F511" s="57"/>
      <c r="G511" s="57"/>
      <c r="H511" s="57"/>
      <c r="I511" s="57"/>
      <c r="J511" s="54"/>
      <c r="K511" s="54"/>
    </row>
    <row r="512" spans="1:11" s="43" customFormat="1" hidden="1" x14ac:dyDescent="0.2">
      <c r="A512" s="54"/>
      <c r="B512" s="54"/>
      <c r="C512" s="54"/>
      <c r="D512" s="54"/>
      <c r="E512" s="54"/>
      <c r="F512" s="57"/>
      <c r="G512" s="57"/>
      <c r="H512" s="57"/>
      <c r="I512" s="57"/>
      <c r="J512" s="54"/>
      <c r="K512" s="54"/>
    </row>
    <row r="513" spans="1:11" s="43" customFormat="1" hidden="1" x14ac:dyDescent="0.2">
      <c r="A513" s="54"/>
      <c r="B513" s="54"/>
      <c r="C513" s="54"/>
      <c r="D513" s="54"/>
      <c r="E513" s="54"/>
      <c r="F513" s="57"/>
      <c r="G513" s="57"/>
      <c r="H513" s="57"/>
      <c r="I513" s="57"/>
      <c r="J513" s="54"/>
      <c r="K513" s="54"/>
    </row>
    <row r="514" spans="1:11" s="43" customFormat="1" hidden="1" x14ac:dyDescent="0.2">
      <c r="A514" s="54"/>
      <c r="B514" s="54"/>
      <c r="C514" s="54"/>
      <c r="D514" s="54"/>
      <c r="E514" s="54"/>
      <c r="F514" s="57"/>
      <c r="G514" s="57"/>
      <c r="H514" s="57"/>
      <c r="I514" s="57"/>
      <c r="J514" s="54"/>
      <c r="K514" s="54"/>
    </row>
    <row r="515" spans="1:11" s="43" customFormat="1" hidden="1" x14ac:dyDescent="0.2">
      <c r="A515" s="54"/>
      <c r="B515" s="54"/>
      <c r="C515" s="54"/>
      <c r="D515" s="54"/>
      <c r="E515" s="54"/>
      <c r="F515" s="57"/>
      <c r="G515" s="57"/>
      <c r="H515" s="57"/>
      <c r="I515" s="57"/>
      <c r="J515" s="54"/>
      <c r="K515" s="54"/>
    </row>
    <row r="516" spans="1:11" s="43" customFormat="1" hidden="1" x14ac:dyDescent="0.2">
      <c r="A516" s="54"/>
      <c r="B516" s="54"/>
      <c r="C516" s="54"/>
      <c r="D516" s="54"/>
      <c r="E516" s="54"/>
      <c r="F516" s="57"/>
      <c r="G516" s="57"/>
      <c r="H516" s="57"/>
      <c r="I516" s="57"/>
      <c r="J516" s="54"/>
      <c r="K516" s="54"/>
    </row>
    <row r="517" spans="1:11" s="43" customFormat="1" hidden="1" x14ac:dyDescent="0.2">
      <c r="A517" s="54"/>
      <c r="B517" s="54"/>
      <c r="C517" s="54"/>
      <c r="D517" s="54"/>
      <c r="E517" s="54"/>
      <c r="F517" s="57"/>
      <c r="G517" s="57"/>
      <c r="H517" s="57"/>
      <c r="I517" s="57"/>
      <c r="J517" s="54"/>
      <c r="K517" s="54"/>
    </row>
    <row r="518" spans="1:11" s="43" customFormat="1" hidden="1" x14ac:dyDescent="0.2">
      <c r="A518" s="54"/>
      <c r="B518" s="54"/>
      <c r="C518" s="54"/>
      <c r="D518" s="54"/>
      <c r="E518" s="54"/>
      <c r="F518" s="57"/>
      <c r="G518" s="57"/>
      <c r="H518" s="57"/>
      <c r="I518" s="57"/>
      <c r="J518" s="54"/>
      <c r="K518" s="54"/>
    </row>
    <row r="519" spans="1:11" s="43" customFormat="1" hidden="1" x14ac:dyDescent="0.2">
      <c r="A519" s="54"/>
      <c r="B519" s="54"/>
      <c r="C519" s="54"/>
      <c r="D519" s="54"/>
      <c r="E519" s="54"/>
      <c r="F519" s="57"/>
      <c r="G519" s="57"/>
      <c r="H519" s="57"/>
      <c r="I519" s="57"/>
      <c r="J519" s="54"/>
      <c r="K519" s="54"/>
    </row>
    <row r="520" spans="1:11" s="43" customFormat="1" hidden="1" x14ac:dyDescent="0.2">
      <c r="A520" s="54"/>
      <c r="B520" s="54"/>
      <c r="C520" s="54"/>
      <c r="D520" s="54"/>
      <c r="E520" s="54"/>
      <c r="F520" s="57"/>
      <c r="G520" s="57"/>
      <c r="H520" s="57"/>
      <c r="I520" s="57"/>
      <c r="J520" s="54"/>
      <c r="K520" s="54"/>
    </row>
    <row r="521" spans="1:11" s="43" customFormat="1" hidden="1" x14ac:dyDescent="0.2">
      <c r="A521" s="54"/>
      <c r="B521" s="54"/>
      <c r="C521" s="54"/>
      <c r="D521" s="54"/>
      <c r="E521" s="54"/>
      <c r="F521" s="57"/>
      <c r="G521" s="57"/>
      <c r="H521" s="57"/>
      <c r="I521" s="57"/>
      <c r="J521" s="54"/>
      <c r="K521" s="54"/>
    </row>
    <row r="522" spans="1:11" s="43" customFormat="1" hidden="1" x14ac:dyDescent="0.2">
      <c r="A522" s="54"/>
      <c r="B522" s="54"/>
      <c r="C522" s="54"/>
      <c r="D522" s="54"/>
      <c r="E522" s="54"/>
      <c r="F522" s="57"/>
      <c r="G522" s="57"/>
      <c r="H522" s="57"/>
      <c r="I522" s="57"/>
      <c r="J522" s="54"/>
      <c r="K522" s="54"/>
    </row>
    <row r="523" spans="1:11" s="43" customFormat="1" hidden="1" x14ac:dyDescent="0.2">
      <c r="A523" s="54"/>
      <c r="B523" s="54"/>
      <c r="C523" s="54"/>
      <c r="D523" s="54"/>
      <c r="E523" s="54"/>
      <c r="F523" s="57"/>
      <c r="G523" s="57"/>
      <c r="H523" s="57"/>
      <c r="I523" s="57"/>
      <c r="J523" s="54"/>
      <c r="K523" s="54"/>
    </row>
    <row r="524" spans="1:11" s="43" customFormat="1" hidden="1" x14ac:dyDescent="0.2">
      <c r="A524" s="54"/>
      <c r="B524" s="54"/>
      <c r="C524" s="54"/>
      <c r="D524" s="54"/>
      <c r="E524" s="54"/>
      <c r="F524" s="57"/>
      <c r="G524" s="57"/>
      <c r="H524" s="57"/>
      <c r="I524" s="57"/>
      <c r="J524" s="54"/>
      <c r="K524" s="54"/>
    </row>
    <row r="525" spans="1:11" s="43" customFormat="1" hidden="1" x14ac:dyDescent="0.2">
      <c r="A525" s="54"/>
      <c r="B525" s="54"/>
      <c r="C525" s="54"/>
      <c r="D525" s="54"/>
      <c r="E525" s="54"/>
      <c r="F525" s="57"/>
      <c r="G525" s="57"/>
      <c r="H525" s="57"/>
      <c r="I525" s="57"/>
      <c r="J525" s="54"/>
      <c r="K525" s="54"/>
    </row>
    <row r="526" spans="1:11" s="43" customFormat="1" hidden="1" x14ac:dyDescent="0.2">
      <c r="A526" s="54"/>
      <c r="B526" s="54"/>
      <c r="C526" s="54"/>
      <c r="D526" s="54"/>
      <c r="E526" s="54"/>
      <c r="F526" s="57"/>
      <c r="G526" s="57"/>
      <c r="H526" s="57"/>
      <c r="I526" s="57"/>
      <c r="J526" s="54"/>
      <c r="K526" s="54"/>
    </row>
    <row r="527" spans="1:11" s="43" customFormat="1" hidden="1" x14ac:dyDescent="0.2">
      <c r="A527" s="54"/>
      <c r="B527" s="54"/>
      <c r="C527" s="54"/>
      <c r="D527" s="54"/>
      <c r="E527" s="54"/>
      <c r="F527" s="57"/>
      <c r="G527" s="57"/>
      <c r="H527" s="57"/>
      <c r="I527" s="57"/>
      <c r="J527" s="54"/>
      <c r="K527" s="54"/>
    </row>
    <row r="528" spans="1:11" s="43" customFormat="1" hidden="1" x14ac:dyDescent="0.2">
      <c r="A528" s="54"/>
      <c r="B528" s="54"/>
      <c r="C528" s="54"/>
      <c r="D528" s="54"/>
      <c r="E528" s="54"/>
      <c r="F528" s="57"/>
      <c r="G528" s="57"/>
      <c r="H528" s="57"/>
      <c r="I528" s="57"/>
      <c r="J528" s="54"/>
      <c r="K528" s="54"/>
    </row>
    <row r="529" spans="1:11" s="43" customFormat="1" hidden="1" x14ac:dyDescent="0.2">
      <c r="A529" s="54"/>
      <c r="B529" s="54"/>
      <c r="C529" s="54"/>
      <c r="D529" s="54"/>
      <c r="E529" s="54"/>
      <c r="F529" s="57"/>
      <c r="G529" s="57"/>
      <c r="H529" s="57"/>
      <c r="I529" s="57"/>
      <c r="J529" s="54"/>
      <c r="K529" s="54"/>
    </row>
    <row r="530" spans="1:11" s="43" customFormat="1" hidden="1" x14ac:dyDescent="0.2">
      <c r="A530" s="54"/>
      <c r="B530" s="54"/>
      <c r="C530" s="54"/>
      <c r="D530" s="54"/>
      <c r="E530" s="54"/>
      <c r="F530" s="57"/>
      <c r="G530" s="57"/>
      <c r="H530" s="57"/>
      <c r="I530" s="57"/>
      <c r="J530" s="54"/>
      <c r="K530" s="54"/>
    </row>
    <row r="531" spans="1:11" s="43" customFormat="1" hidden="1" x14ac:dyDescent="0.2">
      <c r="A531" s="54"/>
      <c r="B531" s="54"/>
      <c r="C531" s="54"/>
      <c r="D531" s="54"/>
      <c r="E531" s="54"/>
      <c r="F531" s="57"/>
      <c r="G531" s="57"/>
      <c r="H531" s="57"/>
      <c r="I531" s="57"/>
      <c r="J531" s="54"/>
      <c r="K531" s="54"/>
    </row>
    <row r="532" spans="1:11" s="43" customFormat="1" hidden="1" x14ac:dyDescent="0.2">
      <c r="A532" s="54"/>
      <c r="B532" s="54"/>
      <c r="C532" s="54"/>
      <c r="D532" s="54"/>
      <c r="E532" s="54"/>
      <c r="F532" s="57"/>
      <c r="G532" s="57"/>
      <c r="H532" s="57"/>
      <c r="I532" s="57"/>
      <c r="J532" s="54"/>
      <c r="K532" s="54"/>
    </row>
    <row r="533" spans="1:11" s="43" customFormat="1" hidden="1" x14ac:dyDescent="0.2">
      <c r="A533" s="54"/>
      <c r="B533" s="54"/>
      <c r="C533" s="54"/>
      <c r="D533" s="54"/>
      <c r="E533" s="54"/>
      <c r="F533" s="57"/>
      <c r="G533" s="57"/>
      <c r="H533" s="57"/>
      <c r="I533" s="57"/>
      <c r="J533" s="54"/>
      <c r="K533" s="54"/>
    </row>
    <row r="534" spans="1:11" s="43" customFormat="1" hidden="1" x14ac:dyDescent="0.2">
      <c r="A534" s="54"/>
      <c r="B534" s="54"/>
      <c r="C534" s="54"/>
      <c r="D534" s="54"/>
      <c r="E534" s="54"/>
      <c r="F534" s="57"/>
      <c r="G534" s="57"/>
      <c r="H534" s="57"/>
      <c r="I534" s="57"/>
      <c r="J534" s="54"/>
      <c r="K534" s="54"/>
    </row>
    <row r="535" spans="1:11" s="43" customFormat="1" hidden="1" x14ac:dyDescent="0.2">
      <c r="A535" s="54"/>
      <c r="B535" s="54"/>
      <c r="C535" s="54"/>
      <c r="D535" s="54"/>
      <c r="E535" s="54"/>
      <c r="F535" s="57"/>
      <c r="G535" s="57"/>
      <c r="H535" s="57"/>
      <c r="I535" s="57"/>
      <c r="J535" s="54"/>
      <c r="K535" s="54"/>
    </row>
    <row r="536" spans="1:11" s="43" customFormat="1" hidden="1" x14ac:dyDescent="0.2">
      <c r="A536" s="54"/>
      <c r="B536" s="54"/>
      <c r="C536" s="54"/>
      <c r="D536" s="54"/>
      <c r="E536" s="54"/>
      <c r="F536" s="57"/>
      <c r="G536" s="57"/>
      <c r="H536" s="57"/>
      <c r="I536" s="57"/>
      <c r="J536" s="54"/>
      <c r="K536" s="54"/>
    </row>
    <row r="537" spans="1:11" s="43" customFormat="1" hidden="1" x14ac:dyDescent="0.2">
      <c r="A537" s="54"/>
      <c r="B537" s="54"/>
      <c r="C537" s="54"/>
      <c r="D537" s="54"/>
      <c r="E537" s="54"/>
      <c r="F537" s="57"/>
      <c r="G537" s="57"/>
      <c r="H537" s="57"/>
      <c r="I537" s="57"/>
      <c r="J537" s="54"/>
      <c r="K537" s="54"/>
    </row>
    <row r="538" spans="1:11" s="43" customFormat="1" hidden="1" x14ac:dyDescent="0.2">
      <c r="A538" s="54"/>
      <c r="B538" s="54"/>
      <c r="C538" s="54"/>
      <c r="D538" s="54"/>
      <c r="E538" s="54"/>
      <c r="F538" s="57"/>
      <c r="G538" s="57"/>
      <c r="H538" s="57"/>
      <c r="I538" s="57"/>
      <c r="J538" s="54"/>
      <c r="K538" s="54"/>
    </row>
    <row r="539" spans="1:11" s="43" customFormat="1" hidden="1" x14ac:dyDescent="0.2">
      <c r="A539" s="54"/>
      <c r="B539" s="54"/>
      <c r="C539" s="54"/>
      <c r="D539" s="54"/>
      <c r="E539" s="54"/>
      <c r="F539" s="57"/>
      <c r="G539" s="57"/>
      <c r="H539" s="57"/>
      <c r="I539" s="57"/>
      <c r="J539" s="54"/>
      <c r="K539" s="54"/>
    </row>
    <row r="540" spans="1:11" s="43" customFormat="1" hidden="1" x14ac:dyDescent="0.2">
      <c r="A540" s="54"/>
      <c r="B540" s="54"/>
      <c r="C540" s="54"/>
      <c r="D540" s="54"/>
      <c r="E540" s="54"/>
      <c r="F540" s="57"/>
      <c r="G540" s="57"/>
      <c r="H540" s="57"/>
      <c r="I540" s="57"/>
      <c r="J540" s="54"/>
      <c r="K540" s="54"/>
    </row>
    <row r="541" spans="1:11" s="43" customFormat="1" hidden="1" x14ac:dyDescent="0.2">
      <c r="A541" s="54"/>
      <c r="B541" s="54"/>
      <c r="C541" s="54"/>
      <c r="D541" s="54"/>
      <c r="E541" s="54"/>
      <c r="F541" s="57"/>
      <c r="G541" s="57"/>
      <c r="H541" s="57"/>
      <c r="I541" s="57"/>
      <c r="J541" s="54"/>
      <c r="K541" s="54"/>
    </row>
    <row r="542" spans="1:11" s="43" customFormat="1" hidden="1" x14ac:dyDescent="0.2">
      <c r="A542" s="54"/>
      <c r="B542" s="54"/>
      <c r="C542" s="54"/>
      <c r="D542" s="54"/>
      <c r="E542" s="54"/>
      <c r="F542" s="57"/>
      <c r="G542" s="57"/>
      <c r="H542" s="57"/>
      <c r="I542" s="57"/>
      <c r="J542" s="54"/>
      <c r="K542" s="54"/>
    </row>
    <row r="543" spans="1:11" s="43" customFormat="1" hidden="1" x14ac:dyDescent="0.2">
      <c r="A543" s="54"/>
      <c r="B543" s="54"/>
      <c r="C543" s="54"/>
      <c r="D543" s="54"/>
      <c r="E543" s="54"/>
      <c r="F543" s="57"/>
      <c r="G543" s="57"/>
      <c r="H543" s="57"/>
      <c r="I543" s="57"/>
      <c r="J543" s="54"/>
      <c r="K543" s="54"/>
    </row>
    <row r="544" spans="1:11" s="43" customFormat="1" hidden="1" x14ac:dyDescent="0.2">
      <c r="A544" s="54"/>
      <c r="B544" s="54"/>
      <c r="C544" s="54"/>
      <c r="D544" s="54"/>
      <c r="E544" s="54"/>
      <c r="F544" s="57"/>
      <c r="G544" s="57"/>
      <c r="H544" s="57"/>
      <c r="I544" s="57"/>
      <c r="J544" s="54"/>
      <c r="K544" s="54"/>
    </row>
    <row r="545" spans="1:11" s="43" customFormat="1" hidden="1" x14ac:dyDescent="0.2">
      <c r="A545" s="54"/>
      <c r="B545" s="54"/>
      <c r="C545" s="54"/>
      <c r="D545" s="54"/>
      <c r="E545" s="54"/>
      <c r="F545" s="57"/>
      <c r="G545" s="57"/>
      <c r="H545" s="57"/>
      <c r="I545" s="57"/>
      <c r="J545" s="54"/>
      <c r="K545" s="54"/>
    </row>
    <row r="546" spans="1:11" s="43" customFormat="1" hidden="1" x14ac:dyDescent="0.2">
      <c r="A546" s="54"/>
      <c r="B546" s="54"/>
      <c r="C546" s="54"/>
      <c r="D546" s="54"/>
      <c r="E546" s="54"/>
      <c r="F546" s="57"/>
      <c r="G546" s="57"/>
      <c r="H546" s="57"/>
      <c r="I546" s="57"/>
      <c r="J546" s="54"/>
      <c r="K546" s="54"/>
    </row>
    <row r="547" spans="1:11" s="43" customFormat="1" hidden="1" x14ac:dyDescent="0.2">
      <c r="A547" s="54"/>
      <c r="B547" s="54"/>
      <c r="C547" s="54"/>
      <c r="D547" s="54"/>
      <c r="E547" s="54"/>
      <c r="F547" s="57"/>
      <c r="G547" s="57"/>
      <c r="H547" s="57"/>
      <c r="I547" s="57"/>
      <c r="J547" s="54"/>
      <c r="K547" s="54"/>
    </row>
    <row r="548" spans="1:11" s="43" customFormat="1" hidden="1" x14ac:dyDescent="0.2">
      <c r="A548" s="54"/>
      <c r="B548" s="54"/>
      <c r="C548" s="54"/>
      <c r="D548" s="54"/>
      <c r="E548" s="54"/>
      <c r="F548" s="57"/>
      <c r="G548" s="57"/>
      <c r="H548" s="57"/>
      <c r="I548" s="57"/>
      <c r="J548" s="54"/>
      <c r="K548" s="54"/>
    </row>
    <row r="549" spans="1:11" s="43" customFormat="1" hidden="1" x14ac:dyDescent="0.2">
      <c r="A549" s="54"/>
      <c r="B549" s="54"/>
      <c r="C549" s="54"/>
      <c r="D549" s="54"/>
      <c r="E549" s="54"/>
      <c r="F549" s="57"/>
      <c r="G549" s="57"/>
      <c r="H549" s="57"/>
      <c r="I549" s="57"/>
      <c r="J549" s="54"/>
      <c r="K549" s="54"/>
    </row>
    <row r="550" spans="1:11" s="43" customFormat="1" hidden="1" x14ac:dyDescent="0.2">
      <c r="A550" s="54"/>
      <c r="B550" s="54"/>
      <c r="C550" s="54"/>
      <c r="D550" s="54"/>
      <c r="E550" s="54"/>
      <c r="F550" s="57"/>
      <c r="G550" s="57"/>
      <c r="H550" s="57"/>
      <c r="I550" s="57"/>
      <c r="J550" s="54"/>
      <c r="K550" s="54"/>
    </row>
    <row r="551" spans="1:11" s="43" customFormat="1" hidden="1" x14ac:dyDescent="0.2">
      <c r="A551" s="54"/>
      <c r="B551" s="54"/>
      <c r="C551" s="54"/>
      <c r="D551" s="54"/>
      <c r="E551" s="54"/>
      <c r="F551" s="57"/>
      <c r="G551" s="57"/>
      <c r="H551" s="57"/>
      <c r="I551" s="57"/>
      <c r="J551" s="54"/>
      <c r="K551" s="54"/>
    </row>
    <row r="552" spans="1:11" s="43" customFormat="1" hidden="1" x14ac:dyDescent="0.2">
      <c r="A552" s="54"/>
      <c r="B552" s="54"/>
      <c r="C552" s="54"/>
      <c r="D552" s="54"/>
      <c r="E552" s="54"/>
      <c r="F552" s="57"/>
      <c r="G552" s="57"/>
      <c r="H552" s="57"/>
      <c r="I552" s="57"/>
      <c r="J552" s="54"/>
      <c r="K552" s="54"/>
    </row>
    <row r="553" spans="1:11" s="43" customFormat="1" hidden="1" x14ac:dyDescent="0.2">
      <c r="A553" s="54"/>
      <c r="B553" s="54"/>
      <c r="C553" s="54"/>
      <c r="D553" s="54"/>
      <c r="E553" s="54"/>
      <c r="F553" s="57"/>
      <c r="G553" s="57"/>
      <c r="H553" s="57"/>
      <c r="I553" s="57"/>
      <c r="J553" s="54"/>
      <c r="K553" s="54"/>
    </row>
    <row r="554" spans="1:11" s="43" customFormat="1" hidden="1" x14ac:dyDescent="0.2">
      <c r="A554" s="54"/>
      <c r="B554" s="54"/>
      <c r="C554" s="54"/>
      <c r="D554" s="54"/>
      <c r="E554" s="54"/>
      <c r="F554" s="57"/>
      <c r="G554" s="57"/>
      <c r="H554" s="57"/>
      <c r="I554" s="57"/>
      <c r="J554" s="54"/>
      <c r="K554" s="54"/>
    </row>
    <row r="555" spans="1:11" s="43" customFormat="1" hidden="1" x14ac:dyDescent="0.2">
      <c r="A555" s="54"/>
      <c r="B555" s="54"/>
      <c r="C555" s="54"/>
      <c r="D555" s="54"/>
      <c r="E555" s="54"/>
      <c r="F555" s="57"/>
      <c r="G555" s="57"/>
      <c r="H555" s="57"/>
      <c r="I555" s="57"/>
      <c r="J555" s="54"/>
      <c r="K555" s="54"/>
    </row>
    <row r="556" spans="1:11" s="43" customFormat="1" hidden="1" x14ac:dyDescent="0.2">
      <c r="A556" s="54"/>
      <c r="B556" s="54"/>
      <c r="C556" s="54"/>
      <c r="D556" s="54"/>
      <c r="E556" s="54"/>
      <c r="F556" s="57"/>
      <c r="G556" s="57"/>
      <c r="H556" s="57"/>
      <c r="I556" s="57"/>
      <c r="J556" s="54"/>
      <c r="K556" s="54"/>
    </row>
    <row r="557" spans="1:11" s="43" customFormat="1" hidden="1" x14ac:dyDescent="0.2">
      <c r="A557" s="54"/>
      <c r="B557" s="54"/>
      <c r="C557" s="54"/>
      <c r="D557" s="54"/>
      <c r="E557" s="54"/>
      <c r="F557" s="57"/>
      <c r="G557" s="57"/>
      <c r="H557" s="57"/>
      <c r="I557" s="57"/>
      <c r="J557" s="54"/>
      <c r="K557" s="54"/>
    </row>
    <row r="558" spans="1:11" s="43" customFormat="1" hidden="1" x14ac:dyDescent="0.2">
      <c r="A558" s="54"/>
      <c r="B558" s="54"/>
      <c r="C558" s="54"/>
      <c r="D558" s="54"/>
      <c r="E558" s="54"/>
      <c r="F558" s="57"/>
      <c r="G558" s="57"/>
      <c r="H558" s="57"/>
      <c r="I558" s="57"/>
      <c r="J558" s="54"/>
      <c r="K558" s="54"/>
    </row>
    <row r="559" spans="1:11" s="43" customFormat="1" hidden="1" x14ac:dyDescent="0.2">
      <c r="A559" s="54"/>
      <c r="B559" s="54"/>
      <c r="C559" s="54"/>
      <c r="D559" s="54"/>
      <c r="E559" s="54"/>
      <c r="F559" s="57"/>
      <c r="G559" s="57"/>
      <c r="H559" s="57"/>
      <c r="I559" s="57"/>
      <c r="J559" s="54"/>
      <c r="K559" s="54"/>
    </row>
    <row r="560" spans="1:11" s="43" customFormat="1" hidden="1" x14ac:dyDescent="0.2">
      <c r="A560" s="54"/>
      <c r="B560" s="54"/>
      <c r="C560" s="54"/>
      <c r="D560" s="54"/>
      <c r="E560" s="54"/>
      <c r="F560" s="57"/>
      <c r="G560" s="57"/>
      <c r="H560" s="57"/>
      <c r="I560" s="57"/>
      <c r="J560" s="54"/>
      <c r="K560" s="54"/>
    </row>
    <row r="561" spans="1:11" s="43" customFormat="1" hidden="1" x14ac:dyDescent="0.2">
      <c r="A561" s="54"/>
      <c r="B561" s="54"/>
      <c r="C561" s="54"/>
      <c r="D561" s="54"/>
      <c r="E561" s="54"/>
      <c r="F561" s="57"/>
      <c r="G561" s="57"/>
      <c r="H561" s="57"/>
      <c r="I561" s="57"/>
      <c r="J561" s="54"/>
      <c r="K561" s="54"/>
    </row>
    <row r="562" spans="1:11" s="43" customFormat="1" hidden="1" x14ac:dyDescent="0.2">
      <c r="A562" s="54"/>
      <c r="B562" s="54"/>
      <c r="C562" s="54"/>
      <c r="D562" s="54"/>
      <c r="E562" s="54"/>
      <c r="F562" s="57"/>
      <c r="G562" s="57"/>
      <c r="H562" s="57"/>
      <c r="I562" s="57"/>
      <c r="J562" s="54"/>
      <c r="K562" s="54"/>
    </row>
    <row r="563" spans="1:11" s="43" customFormat="1" hidden="1" x14ac:dyDescent="0.2">
      <c r="A563" s="54"/>
      <c r="B563" s="54"/>
      <c r="C563" s="54"/>
      <c r="D563" s="54"/>
      <c r="E563" s="54"/>
      <c r="F563" s="57"/>
      <c r="G563" s="57"/>
      <c r="H563" s="57"/>
      <c r="I563" s="57"/>
      <c r="J563" s="54"/>
      <c r="K563" s="54"/>
    </row>
    <row r="564" spans="1:11" s="43" customFormat="1" hidden="1" x14ac:dyDescent="0.2">
      <c r="A564" s="54"/>
      <c r="B564" s="54"/>
      <c r="C564" s="54"/>
      <c r="D564" s="54"/>
      <c r="E564" s="54"/>
      <c r="F564" s="57"/>
      <c r="G564" s="57"/>
      <c r="H564" s="57"/>
      <c r="I564" s="57"/>
      <c r="J564" s="54"/>
      <c r="K564" s="54"/>
    </row>
    <row r="565" spans="1:11" s="43" customFormat="1" hidden="1" x14ac:dyDescent="0.2">
      <c r="A565" s="54"/>
      <c r="B565" s="54"/>
      <c r="C565" s="54"/>
      <c r="D565" s="54"/>
      <c r="E565" s="54"/>
      <c r="F565" s="57"/>
      <c r="G565" s="57"/>
      <c r="H565" s="57"/>
      <c r="I565" s="57"/>
      <c r="J565" s="54"/>
      <c r="K565" s="54"/>
    </row>
    <row r="566" spans="1:11" s="43" customFormat="1" hidden="1" x14ac:dyDescent="0.2">
      <c r="A566" s="54"/>
      <c r="B566" s="54"/>
      <c r="C566" s="54"/>
      <c r="D566" s="54"/>
      <c r="E566" s="54"/>
      <c r="F566" s="57"/>
      <c r="G566" s="57"/>
      <c r="H566" s="57"/>
      <c r="I566" s="57"/>
      <c r="J566" s="54"/>
      <c r="K566" s="54"/>
    </row>
    <row r="567" spans="1:11" s="43" customFormat="1" hidden="1" x14ac:dyDescent="0.2">
      <c r="A567" s="54"/>
      <c r="B567" s="54"/>
      <c r="C567" s="54"/>
      <c r="D567" s="54"/>
      <c r="E567" s="54"/>
      <c r="F567" s="57"/>
      <c r="G567" s="57"/>
      <c r="H567" s="57"/>
      <c r="I567" s="57"/>
      <c r="J567" s="54"/>
      <c r="K567" s="54"/>
    </row>
    <row r="568" spans="1:11" s="43" customFormat="1" hidden="1" x14ac:dyDescent="0.2">
      <c r="A568" s="54"/>
      <c r="B568" s="54"/>
      <c r="C568" s="54"/>
      <c r="D568" s="54"/>
      <c r="E568" s="54"/>
      <c r="F568" s="57"/>
      <c r="G568" s="57"/>
      <c r="H568" s="57"/>
      <c r="I568" s="57"/>
      <c r="J568" s="54"/>
      <c r="K568" s="54"/>
    </row>
    <row r="569" spans="1:11" s="43" customFormat="1" hidden="1" x14ac:dyDescent="0.2">
      <c r="A569" s="54"/>
      <c r="B569" s="54"/>
      <c r="C569" s="54"/>
      <c r="D569" s="54"/>
      <c r="E569" s="54"/>
      <c r="F569" s="57"/>
      <c r="G569" s="57"/>
      <c r="H569" s="57"/>
      <c r="I569" s="57"/>
      <c r="J569" s="54"/>
      <c r="K569" s="54"/>
    </row>
    <row r="570" spans="1:11" s="43" customFormat="1" hidden="1" x14ac:dyDescent="0.2">
      <c r="A570" s="54"/>
      <c r="B570" s="54"/>
      <c r="C570" s="54"/>
      <c r="D570" s="54"/>
      <c r="E570" s="54"/>
      <c r="F570" s="57"/>
      <c r="G570" s="57"/>
      <c r="H570" s="57"/>
      <c r="I570" s="57"/>
      <c r="J570" s="54"/>
      <c r="K570" s="54"/>
    </row>
    <row r="571" spans="1:11" s="43" customFormat="1" hidden="1" x14ac:dyDescent="0.2">
      <c r="A571" s="54"/>
      <c r="B571" s="54"/>
      <c r="C571" s="54"/>
      <c r="D571" s="54"/>
      <c r="E571" s="54"/>
      <c r="F571" s="57"/>
      <c r="G571" s="57"/>
      <c r="H571" s="57"/>
      <c r="I571" s="57"/>
      <c r="J571" s="54"/>
      <c r="K571" s="54"/>
    </row>
    <row r="572" spans="1:11" s="43" customFormat="1" hidden="1" x14ac:dyDescent="0.2">
      <c r="A572" s="54"/>
      <c r="B572" s="54"/>
      <c r="C572" s="54"/>
      <c r="D572" s="54"/>
      <c r="E572" s="54"/>
      <c r="F572" s="57"/>
      <c r="G572" s="57"/>
      <c r="H572" s="57"/>
      <c r="I572" s="57"/>
      <c r="J572" s="54"/>
      <c r="K572" s="54"/>
    </row>
    <row r="573" spans="1:11" s="43" customFormat="1" hidden="1" x14ac:dyDescent="0.2">
      <c r="A573" s="54"/>
      <c r="B573" s="54"/>
      <c r="C573" s="54"/>
      <c r="D573" s="54"/>
      <c r="E573" s="54"/>
      <c r="F573" s="57"/>
      <c r="G573" s="57"/>
      <c r="H573" s="57"/>
      <c r="I573" s="57"/>
      <c r="J573" s="54"/>
      <c r="K573" s="54"/>
    </row>
    <row r="574" spans="1:11" s="43" customFormat="1" hidden="1" x14ac:dyDescent="0.2">
      <c r="A574" s="54"/>
      <c r="B574" s="54"/>
      <c r="C574" s="54"/>
      <c r="D574" s="54"/>
      <c r="E574" s="54"/>
      <c r="F574" s="57"/>
      <c r="G574" s="57"/>
      <c r="H574" s="57"/>
      <c r="I574" s="57"/>
      <c r="J574" s="54"/>
      <c r="K574" s="54"/>
    </row>
    <row r="575" spans="1:11" s="43" customFormat="1" hidden="1" x14ac:dyDescent="0.2">
      <c r="A575" s="54"/>
      <c r="B575" s="54"/>
      <c r="C575" s="54"/>
      <c r="D575" s="54"/>
      <c r="E575" s="54"/>
      <c r="F575" s="57"/>
      <c r="G575" s="57"/>
      <c r="H575" s="57"/>
      <c r="I575" s="57"/>
      <c r="J575" s="54"/>
      <c r="K575" s="54"/>
    </row>
    <row r="576" spans="1:11" s="43" customFormat="1" hidden="1" x14ac:dyDescent="0.2">
      <c r="A576" s="54"/>
      <c r="B576" s="54"/>
      <c r="C576" s="54"/>
      <c r="D576" s="54"/>
      <c r="E576" s="54"/>
      <c r="F576" s="57"/>
      <c r="G576" s="57"/>
      <c r="H576" s="57"/>
      <c r="I576" s="57"/>
      <c r="J576" s="54"/>
      <c r="K576" s="54"/>
    </row>
    <row r="577" spans="1:11" s="43" customFormat="1" hidden="1" x14ac:dyDescent="0.2">
      <c r="A577" s="54"/>
      <c r="B577" s="54"/>
      <c r="C577" s="54"/>
      <c r="D577" s="54"/>
      <c r="E577" s="54"/>
      <c r="F577" s="57"/>
      <c r="G577" s="57"/>
      <c r="H577" s="57"/>
      <c r="I577" s="57"/>
      <c r="J577" s="54"/>
      <c r="K577" s="54"/>
    </row>
    <row r="578" spans="1:11" s="43" customFormat="1" hidden="1" x14ac:dyDescent="0.2">
      <c r="A578" s="54"/>
      <c r="B578" s="54"/>
      <c r="C578" s="54"/>
      <c r="D578" s="54"/>
      <c r="E578" s="54"/>
      <c r="F578" s="57"/>
      <c r="G578" s="57"/>
      <c r="H578" s="57"/>
      <c r="I578" s="57"/>
      <c r="J578" s="54"/>
      <c r="K578" s="54"/>
    </row>
    <row r="579" spans="1:11" s="43" customFormat="1" hidden="1" x14ac:dyDescent="0.2">
      <c r="A579" s="54"/>
      <c r="B579" s="54"/>
      <c r="C579" s="54"/>
      <c r="D579" s="54"/>
      <c r="E579" s="54"/>
      <c r="F579" s="57"/>
      <c r="G579" s="57"/>
      <c r="H579" s="57"/>
      <c r="I579" s="57"/>
      <c r="J579" s="54"/>
      <c r="K579" s="54"/>
    </row>
    <row r="580" spans="1:11" s="43" customFormat="1" hidden="1" x14ac:dyDescent="0.2">
      <c r="A580" s="54"/>
      <c r="B580" s="54"/>
      <c r="C580" s="54"/>
      <c r="D580" s="54"/>
      <c r="E580" s="54"/>
      <c r="F580" s="57"/>
      <c r="G580" s="57"/>
      <c r="H580" s="57"/>
      <c r="I580" s="57"/>
      <c r="J580" s="54"/>
      <c r="K580" s="54"/>
    </row>
    <row r="581" spans="1:11" s="43" customFormat="1" hidden="1" x14ac:dyDescent="0.2">
      <c r="A581" s="54"/>
      <c r="B581" s="54"/>
      <c r="C581" s="54"/>
      <c r="D581" s="54"/>
      <c r="E581" s="54"/>
      <c r="F581" s="57"/>
      <c r="G581" s="57"/>
      <c r="H581" s="57"/>
      <c r="I581" s="57"/>
      <c r="J581" s="54"/>
      <c r="K581" s="54"/>
    </row>
    <row r="582" spans="1:11" s="43" customFormat="1" hidden="1" x14ac:dyDescent="0.2">
      <c r="A582" s="54"/>
      <c r="B582" s="54"/>
      <c r="C582" s="54"/>
      <c r="D582" s="54"/>
      <c r="E582" s="54"/>
      <c r="F582" s="57"/>
      <c r="G582" s="57"/>
      <c r="H582" s="57"/>
      <c r="I582" s="57"/>
      <c r="J582" s="54"/>
      <c r="K582" s="54"/>
    </row>
    <row r="583" spans="1:11" s="43" customFormat="1" hidden="1" x14ac:dyDescent="0.2">
      <c r="A583" s="54"/>
      <c r="B583" s="54"/>
      <c r="C583" s="54"/>
      <c r="D583" s="54"/>
      <c r="E583" s="54"/>
      <c r="F583" s="57"/>
      <c r="G583" s="57"/>
      <c r="H583" s="57"/>
      <c r="I583" s="57"/>
      <c r="J583" s="54"/>
      <c r="K583" s="54"/>
    </row>
    <row r="584" spans="1:11" s="43" customFormat="1" hidden="1" x14ac:dyDescent="0.2">
      <c r="A584" s="54"/>
      <c r="B584" s="54"/>
      <c r="C584" s="54"/>
      <c r="D584" s="54"/>
      <c r="E584" s="54"/>
      <c r="F584" s="57"/>
      <c r="G584" s="57"/>
      <c r="H584" s="57"/>
      <c r="I584" s="57"/>
      <c r="J584" s="54"/>
      <c r="K584" s="54"/>
    </row>
    <row r="585" spans="1:11" s="43" customFormat="1" hidden="1" x14ac:dyDescent="0.2">
      <c r="A585" s="54"/>
      <c r="B585" s="54"/>
      <c r="C585" s="54"/>
      <c r="D585" s="54"/>
      <c r="E585" s="54"/>
      <c r="F585" s="57"/>
      <c r="G585" s="57"/>
      <c r="H585" s="57"/>
      <c r="I585" s="57"/>
      <c r="J585" s="54"/>
      <c r="K585" s="54"/>
    </row>
    <row r="586" spans="1:11" s="43" customFormat="1" hidden="1" x14ac:dyDescent="0.2">
      <c r="A586" s="54"/>
      <c r="B586" s="54"/>
      <c r="C586" s="54"/>
      <c r="D586" s="54"/>
      <c r="E586" s="54"/>
      <c r="F586" s="57"/>
      <c r="G586" s="57"/>
      <c r="H586" s="57"/>
      <c r="I586" s="57"/>
      <c r="J586" s="54"/>
      <c r="K586" s="54"/>
    </row>
    <row r="587" spans="1:11" s="43" customFormat="1" hidden="1" x14ac:dyDescent="0.2">
      <c r="A587" s="54"/>
      <c r="B587" s="54"/>
      <c r="C587" s="54"/>
      <c r="D587" s="54"/>
      <c r="E587" s="54"/>
      <c r="F587" s="57"/>
      <c r="G587" s="57"/>
      <c r="H587" s="57"/>
      <c r="I587" s="57"/>
      <c r="J587" s="54"/>
      <c r="K587" s="54"/>
    </row>
    <row r="588" spans="1:11" s="43" customFormat="1" hidden="1" x14ac:dyDescent="0.2">
      <c r="A588" s="54"/>
      <c r="B588" s="54"/>
      <c r="C588" s="54"/>
      <c r="D588" s="54"/>
      <c r="E588" s="54"/>
      <c r="F588" s="57"/>
      <c r="G588" s="57"/>
      <c r="H588" s="57"/>
      <c r="I588" s="57"/>
      <c r="J588" s="54"/>
      <c r="K588" s="54"/>
    </row>
    <row r="589" spans="1:11" s="43" customFormat="1" hidden="1" x14ac:dyDescent="0.2">
      <c r="A589" s="54"/>
      <c r="B589" s="54"/>
      <c r="C589" s="54"/>
      <c r="D589" s="54"/>
      <c r="E589" s="54"/>
      <c r="F589" s="57"/>
      <c r="G589" s="57"/>
      <c r="H589" s="57"/>
      <c r="I589" s="57"/>
      <c r="J589" s="54"/>
      <c r="K589" s="54"/>
    </row>
    <row r="590" spans="1:11" s="43" customFormat="1" hidden="1" x14ac:dyDescent="0.2">
      <c r="A590" s="54"/>
      <c r="B590" s="54"/>
      <c r="C590" s="54"/>
      <c r="D590" s="54"/>
      <c r="E590" s="54"/>
      <c r="F590" s="57"/>
      <c r="G590" s="57"/>
      <c r="H590" s="57"/>
      <c r="I590" s="57"/>
      <c r="J590" s="54"/>
      <c r="K590" s="54"/>
    </row>
    <row r="591" spans="1:11" s="43" customFormat="1" hidden="1" x14ac:dyDescent="0.2">
      <c r="A591" s="54"/>
      <c r="B591" s="54"/>
      <c r="C591" s="54"/>
      <c r="D591" s="54"/>
      <c r="E591" s="54"/>
      <c r="F591" s="57"/>
      <c r="G591" s="57"/>
      <c r="H591" s="57"/>
      <c r="I591" s="57"/>
      <c r="J591" s="54"/>
      <c r="K591" s="54"/>
    </row>
    <row r="592" spans="1:11" s="43" customFormat="1" hidden="1" x14ac:dyDescent="0.2">
      <c r="A592" s="54"/>
      <c r="B592" s="54"/>
      <c r="C592" s="54"/>
      <c r="D592" s="54"/>
      <c r="E592" s="54"/>
      <c r="F592" s="57"/>
      <c r="G592" s="57"/>
      <c r="H592" s="57"/>
      <c r="I592" s="57"/>
      <c r="J592" s="54"/>
      <c r="K592" s="54"/>
    </row>
    <row r="593" spans="1:11" s="43" customFormat="1" hidden="1" x14ac:dyDescent="0.2">
      <c r="A593" s="54"/>
      <c r="B593" s="54"/>
      <c r="C593" s="54"/>
      <c r="D593" s="54"/>
      <c r="E593" s="54"/>
      <c r="F593" s="57"/>
      <c r="G593" s="57"/>
      <c r="H593" s="57"/>
      <c r="I593" s="57"/>
      <c r="J593" s="54"/>
      <c r="K593" s="54"/>
    </row>
    <row r="594" spans="1:11" s="43" customFormat="1" hidden="1" x14ac:dyDescent="0.2">
      <c r="A594" s="54"/>
      <c r="B594" s="54"/>
      <c r="C594" s="54"/>
      <c r="D594" s="54"/>
      <c r="E594" s="54"/>
      <c r="F594" s="57"/>
      <c r="G594" s="57"/>
      <c r="H594" s="57"/>
      <c r="I594" s="57"/>
      <c r="J594" s="54"/>
      <c r="K594" s="54"/>
    </row>
    <row r="595" spans="1:11" s="43" customFormat="1" hidden="1" x14ac:dyDescent="0.2">
      <c r="A595" s="54"/>
      <c r="B595" s="54"/>
      <c r="C595" s="54"/>
      <c r="D595" s="54"/>
      <c r="E595" s="54"/>
      <c r="F595" s="57"/>
      <c r="G595" s="57"/>
      <c r="H595" s="57"/>
      <c r="I595" s="57"/>
      <c r="J595" s="54"/>
      <c r="K595" s="54"/>
    </row>
    <row r="596" spans="1:11" s="43" customFormat="1" hidden="1" x14ac:dyDescent="0.2">
      <c r="A596" s="54"/>
      <c r="B596" s="54"/>
      <c r="C596" s="54"/>
      <c r="D596" s="54"/>
      <c r="E596" s="54"/>
      <c r="F596" s="57"/>
      <c r="G596" s="57"/>
      <c r="H596" s="57"/>
      <c r="I596" s="57"/>
      <c r="J596" s="54"/>
      <c r="K596" s="54"/>
    </row>
    <row r="597" spans="1:11" s="43" customFormat="1" hidden="1" x14ac:dyDescent="0.2">
      <c r="A597" s="54"/>
      <c r="B597" s="54"/>
      <c r="C597" s="54"/>
      <c r="D597" s="54"/>
      <c r="E597" s="54"/>
      <c r="F597" s="57"/>
      <c r="G597" s="57"/>
      <c r="H597" s="57"/>
      <c r="I597" s="57"/>
      <c r="J597" s="54"/>
      <c r="K597" s="54"/>
    </row>
    <row r="598" spans="1:11" s="43" customFormat="1" hidden="1" x14ac:dyDescent="0.2">
      <c r="A598" s="54"/>
      <c r="B598" s="54"/>
      <c r="C598" s="54"/>
      <c r="D598" s="54"/>
      <c r="E598" s="54"/>
      <c r="F598" s="57"/>
      <c r="G598" s="57"/>
      <c r="H598" s="57"/>
      <c r="I598" s="57"/>
      <c r="J598" s="54"/>
      <c r="K598" s="54"/>
    </row>
    <row r="599" spans="1:11" s="43" customFormat="1" hidden="1" x14ac:dyDescent="0.2">
      <c r="A599" s="54"/>
      <c r="B599" s="54"/>
      <c r="C599" s="54"/>
      <c r="D599" s="54"/>
      <c r="E599" s="54"/>
      <c r="F599" s="57"/>
      <c r="G599" s="57"/>
      <c r="H599" s="57"/>
      <c r="I599" s="57"/>
      <c r="J599" s="54"/>
      <c r="K599" s="54"/>
    </row>
    <row r="600" spans="1:11" s="43" customFormat="1" hidden="1" x14ac:dyDescent="0.2">
      <c r="A600" s="54"/>
      <c r="B600" s="54"/>
      <c r="C600" s="54"/>
      <c r="D600" s="54"/>
      <c r="E600" s="54"/>
      <c r="F600" s="57"/>
      <c r="G600" s="57"/>
      <c r="H600" s="57"/>
      <c r="I600" s="57"/>
      <c r="J600" s="54"/>
      <c r="K600" s="54"/>
    </row>
    <row r="601" spans="1:11" s="43" customFormat="1" hidden="1" x14ac:dyDescent="0.2">
      <c r="A601" s="54"/>
      <c r="B601" s="54"/>
      <c r="C601" s="54"/>
      <c r="D601" s="54"/>
      <c r="E601" s="54"/>
      <c r="F601" s="57"/>
      <c r="G601" s="57"/>
      <c r="H601" s="57"/>
      <c r="I601" s="57"/>
      <c r="J601" s="54"/>
      <c r="K601" s="54"/>
    </row>
    <row r="602" spans="1:11" s="43" customFormat="1" hidden="1" x14ac:dyDescent="0.2">
      <c r="A602" s="54"/>
      <c r="B602" s="54"/>
      <c r="C602" s="54"/>
      <c r="D602" s="54"/>
      <c r="E602" s="54"/>
      <c r="F602" s="57"/>
      <c r="G602" s="57"/>
      <c r="H602" s="57"/>
      <c r="I602" s="57"/>
      <c r="J602" s="54"/>
      <c r="K602" s="54"/>
    </row>
    <row r="603" spans="1:11" s="43" customFormat="1" hidden="1" x14ac:dyDescent="0.2">
      <c r="A603" s="54"/>
      <c r="B603" s="54"/>
      <c r="C603" s="54"/>
      <c r="D603" s="54"/>
      <c r="E603" s="54"/>
      <c r="F603" s="57"/>
      <c r="G603" s="57"/>
      <c r="H603" s="57"/>
      <c r="I603" s="57"/>
      <c r="J603" s="54"/>
      <c r="K603" s="54"/>
    </row>
    <row r="604" spans="1:11" s="43" customFormat="1" hidden="1" x14ac:dyDescent="0.2">
      <c r="A604" s="54"/>
      <c r="B604" s="54"/>
      <c r="C604" s="54"/>
      <c r="D604" s="54"/>
      <c r="E604" s="54"/>
      <c r="F604" s="57"/>
      <c r="G604" s="57"/>
      <c r="H604" s="57"/>
      <c r="I604" s="57"/>
      <c r="J604" s="54"/>
      <c r="K604" s="54"/>
    </row>
    <row r="605" spans="1:11" s="43" customFormat="1" hidden="1" x14ac:dyDescent="0.2">
      <c r="A605" s="54"/>
      <c r="B605" s="54"/>
      <c r="C605" s="54"/>
      <c r="D605" s="54"/>
      <c r="E605" s="54"/>
      <c r="F605" s="57"/>
      <c r="G605" s="57"/>
      <c r="H605" s="57"/>
      <c r="I605" s="57"/>
      <c r="J605" s="54"/>
      <c r="K605" s="54"/>
    </row>
    <row r="606" spans="1:11" s="43" customFormat="1" hidden="1" x14ac:dyDescent="0.2">
      <c r="A606" s="54"/>
      <c r="B606" s="54"/>
      <c r="C606" s="54"/>
      <c r="D606" s="54"/>
      <c r="E606" s="54"/>
      <c r="F606" s="57"/>
      <c r="G606" s="57"/>
      <c r="H606" s="57"/>
      <c r="I606" s="57"/>
      <c r="J606" s="54"/>
      <c r="K606" s="54"/>
    </row>
    <row r="607" spans="1:11" s="43" customFormat="1" hidden="1" x14ac:dyDescent="0.2">
      <c r="A607" s="54"/>
      <c r="B607" s="54"/>
      <c r="C607" s="54"/>
      <c r="D607" s="54"/>
      <c r="E607" s="54"/>
      <c r="F607" s="57"/>
      <c r="G607" s="57"/>
      <c r="H607" s="57"/>
      <c r="I607" s="57"/>
      <c r="J607" s="54"/>
      <c r="K607" s="54"/>
    </row>
    <row r="608" spans="1:11" s="43" customFormat="1" hidden="1" x14ac:dyDescent="0.2">
      <c r="A608" s="54"/>
      <c r="B608" s="54"/>
      <c r="C608" s="54"/>
      <c r="D608" s="54"/>
      <c r="E608" s="54"/>
      <c r="F608" s="57"/>
      <c r="G608" s="57"/>
      <c r="H608" s="57"/>
      <c r="I608" s="57"/>
      <c r="J608" s="54"/>
      <c r="K608" s="54"/>
    </row>
    <row r="609" spans="1:11" s="43" customFormat="1" hidden="1" x14ac:dyDescent="0.2">
      <c r="A609" s="54"/>
      <c r="B609" s="54"/>
      <c r="C609" s="54"/>
      <c r="D609" s="54"/>
      <c r="E609" s="54"/>
      <c r="F609" s="57"/>
      <c r="G609" s="57"/>
      <c r="H609" s="57"/>
      <c r="I609" s="57"/>
      <c r="J609" s="54"/>
      <c r="K609" s="54"/>
    </row>
    <row r="610" spans="1:11" s="43" customFormat="1" hidden="1" x14ac:dyDescent="0.2">
      <c r="A610" s="54"/>
      <c r="B610" s="54"/>
      <c r="C610" s="54"/>
      <c r="D610" s="54"/>
      <c r="E610" s="54"/>
      <c r="F610" s="57"/>
      <c r="G610" s="57"/>
      <c r="H610" s="57"/>
      <c r="I610" s="57"/>
      <c r="J610" s="54"/>
      <c r="K610" s="54"/>
    </row>
    <row r="611" spans="1:11" s="43" customFormat="1" hidden="1" x14ac:dyDescent="0.2">
      <c r="A611" s="54"/>
      <c r="B611" s="54"/>
      <c r="C611" s="54"/>
      <c r="D611" s="54"/>
      <c r="E611" s="54"/>
      <c r="F611" s="57"/>
      <c r="G611" s="57"/>
      <c r="H611" s="57"/>
      <c r="I611" s="57"/>
      <c r="J611" s="54"/>
      <c r="K611" s="54"/>
    </row>
    <row r="612" spans="1:11" s="43" customFormat="1" hidden="1" x14ac:dyDescent="0.2">
      <c r="A612" s="54"/>
      <c r="B612" s="54"/>
      <c r="C612" s="54"/>
      <c r="D612" s="54"/>
      <c r="E612" s="54"/>
      <c r="F612" s="57"/>
      <c r="G612" s="57"/>
      <c r="H612" s="57"/>
      <c r="I612" s="57"/>
      <c r="J612" s="54"/>
      <c r="K612" s="54"/>
    </row>
    <row r="613" spans="1:11" s="43" customFormat="1" hidden="1" x14ac:dyDescent="0.2">
      <c r="A613" s="54"/>
      <c r="B613" s="54"/>
      <c r="C613" s="54"/>
      <c r="D613" s="54"/>
      <c r="E613" s="54"/>
      <c r="F613" s="57"/>
      <c r="G613" s="57"/>
      <c r="H613" s="57"/>
      <c r="I613" s="57"/>
      <c r="J613" s="54"/>
      <c r="K613" s="54"/>
    </row>
    <row r="614" spans="1:11" s="43" customFormat="1" hidden="1" x14ac:dyDescent="0.2">
      <c r="A614" s="54"/>
      <c r="B614" s="54"/>
      <c r="C614" s="54"/>
      <c r="D614" s="54"/>
      <c r="E614" s="54"/>
      <c r="F614" s="57"/>
      <c r="G614" s="57"/>
      <c r="H614" s="57"/>
      <c r="I614" s="57"/>
      <c r="J614" s="54"/>
      <c r="K614" s="54"/>
    </row>
    <row r="615" spans="1:11" s="43" customFormat="1" hidden="1" x14ac:dyDescent="0.2">
      <c r="A615" s="54"/>
      <c r="B615" s="54"/>
      <c r="C615" s="54"/>
      <c r="D615" s="54"/>
      <c r="E615" s="54"/>
      <c r="F615" s="57"/>
      <c r="G615" s="57"/>
      <c r="H615" s="57"/>
      <c r="I615" s="57"/>
      <c r="J615" s="54"/>
      <c r="K615" s="54"/>
    </row>
    <row r="616" spans="1:11" s="43" customFormat="1" hidden="1" x14ac:dyDescent="0.2">
      <c r="A616" s="54"/>
      <c r="B616" s="54"/>
      <c r="C616" s="54"/>
      <c r="D616" s="54"/>
      <c r="E616" s="54"/>
      <c r="F616" s="57"/>
      <c r="G616" s="57"/>
      <c r="H616" s="57"/>
      <c r="I616" s="57"/>
      <c r="J616" s="54"/>
      <c r="K616" s="54"/>
    </row>
    <row r="617" spans="1:11" s="43" customFormat="1" hidden="1" x14ac:dyDescent="0.2">
      <c r="A617" s="54"/>
      <c r="B617" s="54"/>
      <c r="C617" s="54"/>
      <c r="D617" s="54"/>
      <c r="E617" s="54"/>
      <c r="F617" s="57"/>
      <c r="G617" s="57"/>
      <c r="H617" s="57"/>
      <c r="I617" s="57"/>
      <c r="J617" s="54"/>
      <c r="K617" s="54"/>
    </row>
    <row r="618" spans="1:11" s="43" customFormat="1" hidden="1" x14ac:dyDescent="0.2">
      <c r="A618" s="54"/>
      <c r="B618" s="54"/>
      <c r="C618" s="54"/>
      <c r="D618" s="54"/>
      <c r="E618" s="54"/>
      <c r="F618" s="57"/>
      <c r="G618" s="57"/>
      <c r="H618" s="57"/>
      <c r="I618" s="57"/>
      <c r="J618" s="54"/>
      <c r="K618" s="54"/>
    </row>
    <row r="619" spans="1:11" s="43" customFormat="1" hidden="1" x14ac:dyDescent="0.2">
      <c r="A619" s="54"/>
      <c r="B619" s="54"/>
      <c r="C619" s="54"/>
      <c r="D619" s="54"/>
      <c r="E619" s="54"/>
      <c r="F619" s="57"/>
      <c r="G619" s="57"/>
      <c r="H619" s="57"/>
      <c r="I619" s="57"/>
      <c r="J619" s="54"/>
      <c r="K619" s="54"/>
    </row>
    <row r="620" spans="1:11" s="43" customFormat="1" hidden="1" x14ac:dyDescent="0.2">
      <c r="A620" s="54"/>
      <c r="B620" s="54"/>
      <c r="C620" s="54"/>
      <c r="D620" s="54"/>
      <c r="E620" s="54"/>
      <c r="F620" s="57"/>
      <c r="G620" s="57"/>
      <c r="H620" s="57"/>
      <c r="I620" s="57"/>
      <c r="J620" s="54"/>
      <c r="K620" s="54"/>
    </row>
    <row r="621" spans="1:11" s="43" customFormat="1" hidden="1" x14ac:dyDescent="0.2">
      <c r="A621" s="54"/>
      <c r="B621" s="54"/>
      <c r="C621" s="54"/>
      <c r="D621" s="54"/>
      <c r="E621" s="54"/>
      <c r="F621" s="57"/>
      <c r="G621" s="57"/>
      <c r="H621" s="57"/>
      <c r="I621" s="57"/>
      <c r="J621" s="54"/>
      <c r="K621" s="54"/>
    </row>
    <row r="622" spans="1:11" s="43" customFormat="1" hidden="1" x14ac:dyDescent="0.2">
      <c r="A622" s="54"/>
      <c r="B622" s="54"/>
      <c r="C622" s="54"/>
      <c r="D622" s="54"/>
      <c r="E622" s="54"/>
      <c r="F622" s="57"/>
      <c r="G622" s="57"/>
      <c r="H622" s="57"/>
      <c r="I622" s="57"/>
      <c r="J622" s="54"/>
      <c r="K622" s="54"/>
    </row>
    <row r="623" spans="1:11" s="43" customFormat="1" hidden="1" x14ac:dyDescent="0.2">
      <c r="A623" s="54"/>
      <c r="B623" s="54"/>
      <c r="C623" s="54"/>
      <c r="D623" s="54"/>
      <c r="E623" s="54"/>
      <c r="F623" s="57"/>
      <c r="G623" s="57"/>
      <c r="H623" s="57"/>
      <c r="I623" s="57"/>
      <c r="J623" s="54"/>
      <c r="K623" s="54"/>
    </row>
    <row r="624" spans="1:11" s="43" customFormat="1" hidden="1" x14ac:dyDescent="0.2">
      <c r="A624" s="54"/>
      <c r="B624" s="54"/>
      <c r="C624" s="54"/>
      <c r="D624" s="54"/>
      <c r="E624" s="54"/>
      <c r="F624" s="57"/>
      <c r="G624" s="57"/>
      <c r="H624" s="57"/>
      <c r="I624" s="57"/>
      <c r="J624" s="54"/>
      <c r="K624" s="54"/>
    </row>
    <row r="625" spans="1:11" s="43" customFormat="1" hidden="1" x14ac:dyDescent="0.2">
      <c r="A625" s="54"/>
      <c r="B625" s="54"/>
      <c r="C625" s="54"/>
      <c r="D625" s="54"/>
      <c r="E625" s="54"/>
      <c r="F625" s="57"/>
      <c r="G625" s="57"/>
      <c r="H625" s="57"/>
      <c r="I625" s="57"/>
      <c r="J625" s="54"/>
      <c r="K625" s="54"/>
    </row>
    <row r="626" spans="1:11" s="43" customFormat="1" hidden="1" x14ac:dyDescent="0.2">
      <c r="A626" s="54"/>
      <c r="B626" s="54"/>
      <c r="C626" s="54"/>
      <c r="D626" s="54"/>
      <c r="E626" s="54"/>
      <c r="F626" s="57"/>
      <c r="G626" s="57"/>
      <c r="H626" s="57"/>
      <c r="I626" s="57"/>
      <c r="J626" s="54"/>
      <c r="K626" s="54"/>
    </row>
    <row r="627" spans="1:11" s="43" customFormat="1" hidden="1" x14ac:dyDescent="0.2">
      <c r="A627" s="54"/>
      <c r="B627" s="54"/>
      <c r="C627" s="54"/>
      <c r="D627" s="54"/>
      <c r="E627" s="54"/>
      <c r="F627" s="57"/>
      <c r="G627" s="57"/>
      <c r="H627" s="57"/>
      <c r="I627" s="57"/>
      <c r="J627" s="54"/>
      <c r="K627" s="54"/>
    </row>
    <row r="628" spans="1:11" s="43" customFormat="1" hidden="1" x14ac:dyDescent="0.2">
      <c r="A628" s="54"/>
      <c r="B628" s="54"/>
      <c r="C628" s="54"/>
      <c r="D628" s="54"/>
      <c r="E628" s="54"/>
      <c r="F628" s="57"/>
      <c r="G628" s="57"/>
      <c r="H628" s="57"/>
      <c r="I628" s="57"/>
      <c r="J628" s="54"/>
      <c r="K628" s="54"/>
    </row>
    <row r="629" spans="1:11" s="43" customFormat="1" hidden="1" x14ac:dyDescent="0.2">
      <c r="A629" s="54"/>
      <c r="B629" s="54"/>
      <c r="C629" s="54"/>
      <c r="D629" s="54"/>
      <c r="E629" s="54"/>
      <c r="F629" s="57"/>
      <c r="G629" s="57"/>
      <c r="H629" s="57"/>
      <c r="I629" s="57"/>
      <c r="J629" s="54"/>
      <c r="K629" s="54"/>
    </row>
    <row r="630" spans="1:11" s="43" customFormat="1" hidden="1" x14ac:dyDescent="0.2">
      <c r="A630" s="54"/>
      <c r="B630" s="54"/>
      <c r="C630" s="54"/>
      <c r="D630" s="54"/>
      <c r="E630" s="54"/>
      <c r="F630" s="57"/>
      <c r="G630" s="57"/>
      <c r="H630" s="57"/>
      <c r="I630" s="57"/>
      <c r="J630" s="54"/>
      <c r="K630" s="54"/>
    </row>
    <row r="631" spans="1:11" s="43" customFormat="1" hidden="1" x14ac:dyDescent="0.2">
      <c r="A631" s="54"/>
      <c r="B631" s="54"/>
      <c r="C631" s="54"/>
      <c r="D631" s="54"/>
      <c r="E631" s="54"/>
      <c r="F631" s="57"/>
      <c r="G631" s="57"/>
      <c r="H631" s="57"/>
      <c r="I631" s="57"/>
      <c r="J631" s="54"/>
      <c r="K631" s="54"/>
    </row>
    <row r="632" spans="1:11" s="43" customFormat="1" hidden="1" x14ac:dyDescent="0.2">
      <c r="A632" s="54"/>
      <c r="B632" s="54"/>
      <c r="C632" s="54"/>
      <c r="D632" s="54"/>
      <c r="E632" s="54"/>
      <c r="F632" s="57"/>
      <c r="G632" s="57"/>
      <c r="H632" s="57"/>
      <c r="I632" s="57"/>
      <c r="J632" s="54"/>
      <c r="K632" s="54"/>
    </row>
    <row r="633" spans="1:11" s="43" customFormat="1" hidden="1" x14ac:dyDescent="0.2">
      <c r="A633" s="54"/>
      <c r="B633" s="54"/>
      <c r="C633" s="54"/>
      <c r="D633" s="54"/>
      <c r="E633" s="54"/>
      <c r="F633" s="57"/>
      <c r="G633" s="57"/>
      <c r="H633" s="57"/>
      <c r="I633" s="57"/>
      <c r="J633" s="54"/>
      <c r="K633" s="54"/>
    </row>
    <row r="634" spans="1:11" s="43" customFormat="1" hidden="1" x14ac:dyDescent="0.2">
      <c r="A634" s="54"/>
      <c r="B634" s="54"/>
      <c r="C634" s="54"/>
      <c r="D634" s="54"/>
      <c r="E634" s="54"/>
      <c r="F634" s="57"/>
      <c r="G634" s="57"/>
      <c r="H634" s="57"/>
      <c r="I634" s="57"/>
      <c r="J634" s="54"/>
      <c r="K634" s="54"/>
    </row>
    <row r="635" spans="1:11" s="43" customFormat="1" hidden="1" x14ac:dyDescent="0.2">
      <c r="A635" s="54"/>
      <c r="B635" s="54"/>
      <c r="C635" s="54"/>
      <c r="D635" s="54"/>
      <c r="E635" s="54"/>
      <c r="F635" s="57"/>
      <c r="G635" s="57"/>
      <c r="H635" s="57"/>
      <c r="I635" s="57"/>
      <c r="J635" s="54"/>
      <c r="K635" s="54"/>
    </row>
    <row r="636" spans="1:11" s="43" customFormat="1" hidden="1" x14ac:dyDescent="0.2">
      <c r="A636" s="54"/>
      <c r="B636" s="54"/>
      <c r="C636" s="54"/>
      <c r="D636" s="54"/>
      <c r="E636" s="54"/>
      <c r="F636" s="57"/>
      <c r="G636" s="57"/>
      <c r="H636" s="57"/>
      <c r="I636" s="57"/>
      <c r="J636" s="54"/>
      <c r="K636" s="54"/>
    </row>
    <row r="637" spans="1:11" s="43" customFormat="1" hidden="1" x14ac:dyDescent="0.2">
      <c r="A637" s="54"/>
      <c r="B637" s="54"/>
      <c r="C637" s="54"/>
      <c r="D637" s="54"/>
      <c r="E637" s="54"/>
      <c r="F637" s="57"/>
      <c r="G637" s="57"/>
      <c r="H637" s="57"/>
      <c r="I637" s="57"/>
      <c r="J637" s="54"/>
      <c r="K637" s="54"/>
    </row>
    <row r="638" spans="1:11" s="43" customFormat="1" hidden="1" x14ac:dyDescent="0.2">
      <c r="A638" s="54"/>
      <c r="B638" s="54"/>
      <c r="C638" s="54"/>
      <c r="D638" s="54"/>
      <c r="E638" s="54"/>
      <c r="F638" s="57"/>
      <c r="G638" s="57"/>
      <c r="H638" s="57"/>
      <c r="I638" s="57"/>
      <c r="J638" s="54"/>
      <c r="K638" s="54"/>
    </row>
    <row r="639" spans="1:11" s="43" customFormat="1" hidden="1" x14ac:dyDescent="0.2">
      <c r="A639" s="54"/>
      <c r="B639" s="54"/>
      <c r="C639" s="54"/>
      <c r="D639" s="54"/>
      <c r="E639" s="54"/>
      <c r="F639" s="57"/>
      <c r="G639" s="57"/>
      <c r="H639" s="57"/>
      <c r="I639" s="57"/>
      <c r="J639" s="54"/>
      <c r="K639" s="54"/>
    </row>
    <row r="640" spans="1:11" s="43" customFormat="1" hidden="1" x14ac:dyDescent="0.2">
      <c r="A640" s="54"/>
      <c r="B640" s="54"/>
      <c r="C640" s="54"/>
      <c r="D640" s="54"/>
      <c r="E640" s="54"/>
      <c r="F640" s="57"/>
      <c r="G640" s="57"/>
      <c r="H640" s="57"/>
      <c r="I640" s="57"/>
      <c r="J640" s="54"/>
      <c r="K640" s="54"/>
    </row>
    <row r="641" spans="1:11" s="43" customFormat="1" hidden="1" x14ac:dyDescent="0.2">
      <c r="A641" s="54"/>
      <c r="B641" s="54"/>
      <c r="C641" s="54"/>
      <c r="D641" s="54"/>
      <c r="E641" s="54"/>
      <c r="F641" s="57"/>
      <c r="G641" s="57"/>
      <c r="H641" s="57"/>
      <c r="I641" s="57"/>
      <c r="J641" s="54"/>
      <c r="K641" s="54"/>
    </row>
    <row r="642" spans="1:11" s="43" customFormat="1" hidden="1" x14ac:dyDescent="0.2">
      <c r="A642" s="54"/>
      <c r="B642" s="54"/>
      <c r="C642" s="54"/>
      <c r="D642" s="54"/>
      <c r="E642" s="54"/>
      <c r="F642" s="57"/>
      <c r="G642" s="57"/>
      <c r="H642" s="57"/>
      <c r="I642" s="57"/>
      <c r="J642" s="54"/>
      <c r="K642" s="54"/>
    </row>
    <row r="643" spans="1:11" s="43" customFormat="1" hidden="1" x14ac:dyDescent="0.2">
      <c r="A643" s="54"/>
      <c r="B643" s="54"/>
      <c r="C643" s="54"/>
      <c r="D643" s="54"/>
      <c r="E643" s="54"/>
      <c r="F643" s="57"/>
      <c r="G643" s="57"/>
      <c r="H643" s="57"/>
      <c r="I643" s="57"/>
      <c r="J643" s="54"/>
      <c r="K643" s="54"/>
    </row>
    <row r="644" spans="1:11" s="43" customFormat="1" hidden="1" x14ac:dyDescent="0.2">
      <c r="A644" s="54"/>
      <c r="B644" s="54"/>
      <c r="C644" s="54"/>
      <c r="D644" s="54"/>
      <c r="E644" s="54"/>
      <c r="F644" s="57"/>
      <c r="G644" s="57"/>
      <c r="H644" s="57"/>
      <c r="I644" s="57"/>
      <c r="J644" s="54"/>
      <c r="K644" s="54"/>
    </row>
    <row r="645" spans="1:11" s="43" customFormat="1" hidden="1" x14ac:dyDescent="0.2">
      <c r="A645" s="54"/>
      <c r="B645" s="54"/>
      <c r="C645" s="54"/>
      <c r="D645" s="54"/>
      <c r="E645" s="54"/>
      <c r="F645" s="57"/>
      <c r="G645" s="57"/>
      <c r="H645" s="57"/>
      <c r="I645" s="57"/>
      <c r="J645" s="54"/>
      <c r="K645" s="54"/>
    </row>
    <row r="646" spans="1:11" s="43" customFormat="1" hidden="1" x14ac:dyDescent="0.2">
      <c r="A646" s="54"/>
      <c r="B646" s="54"/>
      <c r="C646" s="54"/>
      <c r="D646" s="54"/>
      <c r="E646" s="54"/>
      <c r="F646" s="57"/>
      <c r="G646" s="57"/>
      <c r="H646" s="57"/>
      <c r="I646" s="57"/>
      <c r="J646" s="54"/>
      <c r="K646" s="54"/>
    </row>
    <row r="647" spans="1:11" s="43" customFormat="1" hidden="1" x14ac:dyDescent="0.2">
      <c r="A647" s="54"/>
      <c r="B647" s="54"/>
      <c r="C647" s="54"/>
      <c r="D647" s="54"/>
      <c r="E647" s="54"/>
      <c r="F647" s="57"/>
      <c r="G647" s="57"/>
      <c r="H647" s="57"/>
      <c r="I647" s="57"/>
      <c r="J647" s="54"/>
      <c r="K647" s="54"/>
    </row>
    <row r="648" spans="1:11" s="43" customFormat="1" hidden="1" x14ac:dyDescent="0.2">
      <c r="A648" s="54"/>
      <c r="B648" s="54"/>
      <c r="C648" s="54"/>
      <c r="D648" s="54"/>
      <c r="E648" s="54"/>
      <c r="F648" s="57"/>
      <c r="G648" s="57"/>
      <c r="H648" s="57"/>
      <c r="I648" s="57"/>
      <c r="J648" s="54"/>
      <c r="K648" s="54"/>
    </row>
    <row r="649" spans="1:11" s="43" customFormat="1" hidden="1" x14ac:dyDescent="0.2">
      <c r="A649" s="54"/>
      <c r="B649" s="54"/>
      <c r="C649" s="54"/>
      <c r="D649" s="54"/>
      <c r="E649" s="54"/>
      <c r="F649" s="57"/>
      <c r="G649" s="57"/>
      <c r="H649" s="57"/>
      <c r="I649" s="57"/>
      <c r="J649" s="54"/>
      <c r="K649" s="54"/>
    </row>
    <row r="650" spans="1:11" s="43" customFormat="1" hidden="1" x14ac:dyDescent="0.2">
      <c r="A650" s="54"/>
      <c r="B650" s="54"/>
      <c r="C650" s="54"/>
      <c r="D650" s="54"/>
      <c r="E650" s="54"/>
      <c r="F650" s="57"/>
      <c r="G650" s="57"/>
      <c r="H650" s="57"/>
      <c r="I650" s="57"/>
      <c r="J650" s="54"/>
      <c r="K650" s="54"/>
    </row>
    <row r="651" spans="1:11" s="43" customFormat="1" hidden="1" x14ac:dyDescent="0.2">
      <c r="A651" s="54"/>
      <c r="B651" s="54"/>
      <c r="C651" s="54"/>
      <c r="D651" s="54"/>
      <c r="E651" s="54"/>
      <c r="F651" s="57"/>
      <c r="G651" s="57"/>
      <c r="H651" s="57"/>
      <c r="I651" s="57"/>
      <c r="J651" s="54"/>
      <c r="K651" s="54"/>
    </row>
    <row r="652" spans="1:11" s="43" customFormat="1" hidden="1" x14ac:dyDescent="0.2">
      <c r="A652" s="54"/>
      <c r="B652" s="54"/>
      <c r="C652" s="54"/>
      <c r="D652" s="54"/>
      <c r="E652" s="54"/>
      <c r="F652" s="57"/>
      <c r="G652" s="57"/>
      <c r="H652" s="57"/>
      <c r="I652" s="57"/>
      <c r="J652" s="54"/>
      <c r="K652" s="54"/>
    </row>
    <row r="653" spans="1:11" s="43" customFormat="1" hidden="1" x14ac:dyDescent="0.2">
      <c r="A653" s="54"/>
      <c r="B653" s="54"/>
      <c r="C653" s="54"/>
      <c r="D653" s="54"/>
      <c r="E653" s="54"/>
      <c r="F653" s="57"/>
      <c r="G653" s="57"/>
      <c r="H653" s="57"/>
      <c r="I653" s="57"/>
      <c r="J653" s="54"/>
      <c r="K653" s="54"/>
    </row>
    <row r="654" spans="1:11" s="43" customFormat="1" hidden="1" x14ac:dyDescent="0.2">
      <c r="A654" s="54"/>
      <c r="B654" s="54"/>
      <c r="C654" s="54"/>
      <c r="D654" s="54"/>
      <c r="E654" s="54"/>
      <c r="F654" s="57"/>
      <c r="G654" s="57"/>
      <c r="H654" s="57"/>
      <c r="I654" s="57"/>
      <c r="J654" s="54"/>
      <c r="K654" s="54"/>
    </row>
    <row r="655" spans="1:11" s="43" customFormat="1" hidden="1" x14ac:dyDescent="0.2">
      <c r="A655" s="54"/>
      <c r="B655" s="54"/>
      <c r="C655" s="54"/>
      <c r="D655" s="54"/>
      <c r="E655" s="54"/>
      <c r="F655" s="57"/>
      <c r="G655" s="57"/>
      <c r="H655" s="57"/>
      <c r="I655" s="57"/>
      <c r="J655" s="54"/>
      <c r="K655" s="54"/>
    </row>
    <row r="656" spans="1:11" s="43" customFormat="1" hidden="1" x14ac:dyDescent="0.2">
      <c r="A656" s="54"/>
      <c r="B656" s="54"/>
      <c r="C656" s="54"/>
      <c r="D656" s="54"/>
      <c r="E656" s="54"/>
      <c r="F656" s="57"/>
      <c r="G656" s="57"/>
      <c r="H656" s="57"/>
      <c r="I656" s="57"/>
      <c r="J656" s="54"/>
      <c r="K656" s="54"/>
    </row>
    <row r="657" spans="1:11" s="43" customFormat="1" hidden="1" x14ac:dyDescent="0.2">
      <c r="A657" s="54"/>
      <c r="B657" s="54"/>
      <c r="C657" s="54"/>
      <c r="D657" s="54"/>
      <c r="E657" s="54"/>
      <c r="F657" s="57"/>
      <c r="G657" s="57"/>
      <c r="H657" s="57"/>
      <c r="I657" s="57"/>
      <c r="J657" s="54"/>
      <c r="K657" s="54"/>
    </row>
    <row r="658" spans="1:11" s="43" customFormat="1" hidden="1" x14ac:dyDescent="0.2">
      <c r="A658" s="54"/>
      <c r="B658" s="54"/>
      <c r="C658" s="54"/>
      <c r="D658" s="54"/>
      <c r="E658" s="54"/>
      <c r="F658" s="57"/>
      <c r="G658" s="57"/>
      <c r="H658" s="57"/>
      <c r="I658" s="57"/>
      <c r="J658" s="54"/>
      <c r="K658" s="54"/>
    </row>
    <row r="659" spans="1:11" s="43" customFormat="1" hidden="1" x14ac:dyDescent="0.2">
      <c r="A659" s="54"/>
      <c r="B659" s="54"/>
      <c r="C659" s="54"/>
      <c r="D659" s="54"/>
      <c r="E659" s="54"/>
      <c r="F659" s="57"/>
      <c r="G659" s="57"/>
      <c r="H659" s="57"/>
      <c r="I659" s="57"/>
      <c r="J659" s="54"/>
      <c r="K659" s="54"/>
    </row>
    <row r="660" spans="1:11" s="43" customFormat="1" hidden="1" x14ac:dyDescent="0.2">
      <c r="A660" s="54"/>
      <c r="B660" s="54"/>
      <c r="C660" s="54"/>
      <c r="D660" s="54"/>
      <c r="E660" s="54"/>
      <c r="F660" s="57"/>
      <c r="G660" s="57"/>
      <c r="H660" s="57"/>
      <c r="I660" s="57"/>
      <c r="J660" s="54"/>
      <c r="K660" s="54"/>
    </row>
    <row r="661" spans="1:11" s="43" customFormat="1" hidden="1" x14ac:dyDescent="0.2">
      <c r="A661" s="54"/>
      <c r="B661" s="54"/>
      <c r="C661" s="54"/>
      <c r="D661" s="54"/>
      <c r="E661" s="54"/>
      <c r="F661" s="57"/>
      <c r="G661" s="57"/>
      <c r="H661" s="57"/>
      <c r="I661" s="57"/>
      <c r="J661" s="54"/>
      <c r="K661" s="54"/>
    </row>
    <row r="662" spans="1:11" s="43" customFormat="1" hidden="1" x14ac:dyDescent="0.2">
      <c r="A662" s="54"/>
      <c r="B662" s="54"/>
      <c r="C662" s="54"/>
      <c r="D662" s="54"/>
      <c r="E662" s="54"/>
      <c r="F662" s="57"/>
      <c r="G662" s="57"/>
      <c r="H662" s="57"/>
      <c r="I662" s="57"/>
      <c r="J662" s="54"/>
      <c r="K662" s="54"/>
    </row>
    <row r="663" spans="1:11" s="43" customFormat="1" hidden="1" x14ac:dyDescent="0.2">
      <c r="A663" s="54"/>
      <c r="B663" s="54"/>
      <c r="C663" s="54"/>
      <c r="D663" s="54"/>
      <c r="E663" s="54"/>
      <c r="F663" s="57"/>
      <c r="G663" s="57"/>
      <c r="H663" s="57"/>
      <c r="I663" s="57"/>
      <c r="J663" s="54"/>
      <c r="K663" s="54"/>
    </row>
    <row r="664" spans="1:11" s="43" customFormat="1" hidden="1" x14ac:dyDescent="0.2">
      <c r="A664" s="54"/>
      <c r="B664" s="54"/>
      <c r="C664" s="54"/>
      <c r="D664" s="54"/>
      <c r="E664" s="54"/>
      <c r="F664" s="57"/>
      <c r="G664" s="57"/>
      <c r="H664" s="57"/>
      <c r="I664" s="57"/>
      <c r="J664" s="54"/>
      <c r="K664" s="54"/>
    </row>
    <row r="665" spans="1:11" s="43" customFormat="1" hidden="1" x14ac:dyDescent="0.2">
      <c r="A665" s="54"/>
      <c r="B665" s="54"/>
      <c r="C665" s="54"/>
      <c r="D665" s="54"/>
      <c r="E665" s="54"/>
      <c r="F665" s="57"/>
      <c r="G665" s="57"/>
      <c r="H665" s="57"/>
      <c r="I665" s="57"/>
      <c r="J665" s="54"/>
      <c r="K665" s="54"/>
    </row>
    <row r="666" spans="1:11" s="43" customFormat="1" hidden="1" x14ac:dyDescent="0.2">
      <c r="A666" s="54"/>
      <c r="B666" s="54"/>
      <c r="C666" s="54"/>
      <c r="D666" s="54"/>
      <c r="E666" s="54"/>
      <c r="F666" s="57"/>
      <c r="G666" s="57"/>
      <c r="H666" s="57"/>
      <c r="I666" s="57"/>
      <c r="J666" s="54"/>
      <c r="K666" s="54"/>
    </row>
    <row r="667" spans="1:11" s="43" customFormat="1" hidden="1" x14ac:dyDescent="0.2">
      <c r="A667" s="54"/>
      <c r="B667" s="54"/>
      <c r="C667" s="54"/>
      <c r="D667" s="54"/>
      <c r="E667" s="54"/>
      <c r="F667" s="57"/>
      <c r="G667" s="57"/>
      <c r="H667" s="57"/>
      <c r="I667" s="57"/>
      <c r="J667" s="54"/>
      <c r="K667" s="54"/>
    </row>
    <row r="668" spans="1:11" s="43" customFormat="1" hidden="1" x14ac:dyDescent="0.2">
      <c r="A668" s="54"/>
      <c r="B668" s="54"/>
      <c r="C668" s="54"/>
      <c r="D668" s="54"/>
      <c r="E668" s="54"/>
      <c r="F668" s="57"/>
      <c r="G668" s="57"/>
      <c r="H668" s="57"/>
      <c r="I668" s="57"/>
      <c r="J668" s="54"/>
      <c r="K668" s="54"/>
    </row>
    <row r="669" spans="1:11" s="43" customFormat="1" hidden="1" x14ac:dyDescent="0.2">
      <c r="A669" s="54"/>
      <c r="B669" s="54"/>
      <c r="C669" s="54"/>
      <c r="D669" s="54"/>
      <c r="E669" s="54"/>
      <c r="F669" s="57"/>
      <c r="G669" s="57"/>
      <c r="H669" s="57"/>
      <c r="I669" s="57"/>
      <c r="J669" s="54"/>
      <c r="K669" s="54"/>
    </row>
    <row r="670" spans="1:11" s="43" customFormat="1" hidden="1" x14ac:dyDescent="0.2">
      <c r="A670" s="54"/>
      <c r="B670" s="54"/>
      <c r="C670" s="54"/>
      <c r="D670" s="54"/>
      <c r="E670" s="54"/>
      <c r="F670" s="57"/>
      <c r="G670" s="57"/>
      <c r="H670" s="57"/>
      <c r="I670" s="57"/>
      <c r="J670" s="54"/>
      <c r="K670" s="54"/>
    </row>
    <row r="671" spans="1:11" s="43" customFormat="1" hidden="1" x14ac:dyDescent="0.2">
      <c r="A671" s="54"/>
      <c r="B671" s="54"/>
      <c r="C671" s="54"/>
      <c r="D671" s="54"/>
      <c r="E671" s="54"/>
      <c r="F671" s="57"/>
      <c r="G671" s="57"/>
      <c r="H671" s="57"/>
      <c r="I671" s="57"/>
      <c r="J671" s="54"/>
      <c r="K671" s="54"/>
    </row>
    <row r="672" spans="1:11" s="43" customFormat="1" hidden="1" x14ac:dyDescent="0.2">
      <c r="A672" s="54"/>
      <c r="B672" s="54"/>
      <c r="C672" s="54"/>
      <c r="D672" s="54"/>
      <c r="E672" s="54"/>
      <c r="F672" s="57"/>
      <c r="G672" s="57"/>
      <c r="H672" s="57"/>
      <c r="I672" s="57"/>
      <c r="J672" s="54"/>
      <c r="K672" s="54"/>
    </row>
    <row r="673" spans="1:11" s="43" customFormat="1" hidden="1" x14ac:dyDescent="0.2">
      <c r="A673" s="54"/>
      <c r="B673" s="54"/>
      <c r="C673" s="54"/>
      <c r="D673" s="54"/>
      <c r="E673" s="54"/>
      <c r="F673" s="57"/>
      <c r="G673" s="57"/>
      <c r="H673" s="57"/>
      <c r="I673" s="57"/>
      <c r="J673" s="54"/>
      <c r="K673" s="54"/>
    </row>
    <row r="674" spans="1:11" s="43" customFormat="1" hidden="1" x14ac:dyDescent="0.2">
      <c r="A674" s="54"/>
      <c r="B674" s="54"/>
      <c r="C674" s="54"/>
      <c r="D674" s="54"/>
      <c r="E674" s="54"/>
      <c r="F674" s="57"/>
      <c r="G674" s="57"/>
      <c r="H674" s="57"/>
      <c r="I674" s="57"/>
      <c r="J674" s="54"/>
      <c r="K674" s="54"/>
    </row>
    <row r="675" spans="1:11" s="43" customFormat="1" hidden="1" x14ac:dyDescent="0.2">
      <c r="A675" s="54"/>
      <c r="B675" s="54"/>
      <c r="C675" s="54"/>
      <c r="D675" s="54"/>
      <c r="E675" s="54"/>
      <c r="F675" s="57"/>
      <c r="G675" s="57"/>
      <c r="H675" s="57"/>
      <c r="I675" s="57"/>
      <c r="J675" s="54"/>
      <c r="K675" s="54"/>
    </row>
    <row r="676" spans="1:11" s="43" customFormat="1" hidden="1" x14ac:dyDescent="0.2">
      <c r="A676" s="54"/>
      <c r="B676" s="54"/>
      <c r="C676" s="54"/>
      <c r="D676" s="54"/>
      <c r="E676" s="54"/>
      <c r="F676" s="57"/>
      <c r="G676" s="57"/>
      <c r="H676" s="57"/>
      <c r="I676" s="57"/>
      <c r="J676" s="54"/>
      <c r="K676" s="54"/>
    </row>
    <row r="677" spans="1:11" s="43" customFormat="1" hidden="1" x14ac:dyDescent="0.2">
      <c r="A677" s="54"/>
      <c r="B677" s="54"/>
      <c r="C677" s="54"/>
      <c r="D677" s="54"/>
      <c r="E677" s="54"/>
      <c r="F677" s="57"/>
      <c r="G677" s="57"/>
      <c r="H677" s="57"/>
      <c r="I677" s="57"/>
      <c r="J677" s="54"/>
      <c r="K677" s="54"/>
    </row>
    <row r="678" spans="1:11" s="43" customFormat="1" hidden="1" x14ac:dyDescent="0.2">
      <c r="A678" s="54"/>
      <c r="B678" s="54"/>
      <c r="C678" s="54"/>
      <c r="D678" s="54"/>
      <c r="E678" s="54"/>
      <c r="F678" s="57"/>
      <c r="G678" s="57"/>
      <c r="H678" s="57"/>
      <c r="I678" s="57"/>
      <c r="J678" s="54"/>
      <c r="K678" s="54"/>
    </row>
    <row r="679" spans="1:11" s="43" customFormat="1" hidden="1" x14ac:dyDescent="0.2">
      <c r="A679" s="54"/>
      <c r="B679" s="54"/>
      <c r="C679" s="54"/>
      <c r="D679" s="54"/>
      <c r="E679" s="54"/>
      <c r="F679" s="57"/>
      <c r="G679" s="57"/>
      <c r="H679" s="57"/>
      <c r="I679" s="57"/>
      <c r="J679" s="54"/>
      <c r="K679" s="54"/>
    </row>
    <row r="680" spans="1:11" s="43" customFormat="1" hidden="1" x14ac:dyDescent="0.2">
      <c r="A680" s="54"/>
      <c r="B680" s="54"/>
      <c r="C680" s="54"/>
      <c r="D680" s="54"/>
      <c r="E680" s="54"/>
      <c r="F680" s="57"/>
      <c r="G680" s="57"/>
      <c r="H680" s="57"/>
      <c r="I680" s="57"/>
      <c r="J680" s="54"/>
      <c r="K680" s="54"/>
    </row>
    <row r="681" spans="1:11" s="43" customFormat="1" hidden="1" x14ac:dyDescent="0.2">
      <c r="A681" s="54"/>
      <c r="B681" s="54"/>
      <c r="C681" s="54"/>
      <c r="D681" s="54"/>
      <c r="E681" s="54"/>
      <c r="F681" s="57"/>
      <c r="G681" s="57"/>
      <c r="H681" s="57"/>
      <c r="I681" s="57"/>
      <c r="J681" s="54"/>
      <c r="K681" s="54"/>
    </row>
    <row r="682" spans="1:11" s="43" customFormat="1" hidden="1" x14ac:dyDescent="0.2">
      <c r="A682" s="54"/>
      <c r="B682" s="54"/>
      <c r="C682" s="54"/>
      <c r="D682" s="54"/>
      <c r="E682" s="54"/>
      <c r="F682" s="57"/>
      <c r="G682" s="57"/>
      <c r="H682" s="57"/>
      <c r="I682" s="57"/>
      <c r="J682" s="54"/>
      <c r="K682" s="54"/>
    </row>
    <row r="683" spans="1:11" s="43" customFormat="1" hidden="1" x14ac:dyDescent="0.2">
      <c r="A683" s="54"/>
      <c r="B683" s="54"/>
      <c r="C683" s="54"/>
      <c r="D683" s="54"/>
      <c r="E683" s="54"/>
      <c r="F683" s="57"/>
      <c r="G683" s="57"/>
      <c r="H683" s="57"/>
      <c r="I683" s="57"/>
      <c r="J683" s="54"/>
      <c r="K683" s="54"/>
    </row>
    <row r="684" spans="1:11" s="43" customFormat="1" hidden="1" x14ac:dyDescent="0.2">
      <c r="A684" s="54"/>
      <c r="B684" s="54"/>
      <c r="C684" s="54"/>
      <c r="D684" s="54"/>
      <c r="E684" s="54"/>
      <c r="F684" s="57"/>
      <c r="G684" s="57"/>
      <c r="H684" s="57"/>
      <c r="I684" s="57"/>
      <c r="J684" s="54"/>
      <c r="K684" s="54"/>
    </row>
    <row r="685" spans="1:11" s="43" customFormat="1" hidden="1" x14ac:dyDescent="0.2">
      <c r="A685" s="54"/>
      <c r="B685" s="54"/>
      <c r="C685" s="54"/>
      <c r="D685" s="54"/>
      <c r="E685" s="54"/>
      <c r="F685" s="57"/>
      <c r="G685" s="57"/>
      <c r="H685" s="57"/>
      <c r="I685" s="57"/>
      <c r="J685" s="54"/>
      <c r="K685" s="54"/>
    </row>
    <row r="686" spans="1:11" s="43" customFormat="1" hidden="1" x14ac:dyDescent="0.2">
      <c r="A686" s="54"/>
      <c r="B686" s="54"/>
      <c r="C686" s="54"/>
      <c r="D686" s="54"/>
      <c r="E686" s="54"/>
      <c r="F686" s="57"/>
      <c r="G686" s="57"/>
      <c r="H686" s="57"/>
      <c r="I686" s="57"/>
      <c r="J686" s="54"/>
      <c r="K686" s="54"/>
    </row>
    <row r="687" spans="1:11" s="43" customFormat="1" hidden="1" x14ac:dyDescent="0.2">
      <c r="A687" s="54"/>
      <c r="B687" s="54"/>
      <c r="C687" s="54"/>
      <c r="D687" s="54"/>
      <c r="E687" s="54"/>
      <c r="F687" s="57"/>
      <c r="G687" s="57"/>
      <c r="H687" s="57"/>
      <c r="I687" s="57"/>
      <c r="J687" s="54"/>
      <c r="K687" s="54"/>
    </row>
    <row r="688" spans="1:11" s="43" customFormat="1" hidden="1" x14ac:dyDescent="0.2">
      <c r="A688" s="54"/>
      <c r="B688" s="54"/>
      <c r="C688" s="54"/>
      <c r="D688" s="54"/>
      <c r="E688" s="54"/>
      <c r="F688" s="57"/>
      <c r="G688" s="57"/>
      <c r="H688" s="57"/>
      <c r="I688" s="57"/>
      <c r="J688" s="54"/>
      <c r="K688" s="54"/>
    </row>
    <row r="689" spans="1:11" s="43" customFormat="1" hidden="1" x14ac:dyDescent="0.2">
      <c r="A689" s="54"/>
      <c r="B689" s="54"/>
      <c r="C689" s="54"/>
      <c r="D689" s="54"/>
      <c r="E689" s="54"/>
      <c r="F689" s="57"/>
      <c r="G689" s="57"/>
      <c r="H689" s="57"/>
      <c r="I689" s="57"/>
      <c r="J689" s="54"/>
      <c r="K689" s="54"/>
    </row>
    <row r="690" spans="1:11" s="43" customFormat="1" hidden="1" x14ac:dyDescent="0.2">
      <c r="A690" s="54"/>
      <c r="B690" s="54"/>
      <c r="C690" s="54"/>
      <c r="D690" s="54"/>
      <c r="E690" s="54"/>
      <c r="F690" s="57"/>
      <c r="G690" s="57"/>
      <c r="H690" s="57"/>
      <c r="I690" s="57"/>
      <c r="J690" s="54"/>
      <c r="K690" s="54"/>
    </row>
    <row r="691" spans="1:11" s="43" customFormat="1" hidden="1" x14ac:dyDescent="0.2">
      <c r="A691" s="54"/>
      <c r="B691" s="54"/>
      <c r="C691" s="54"/>
      <c r="D691" s="54"/>
      <c r="E691" s="54"/>
      <c r="F691" s="57"/>
      <c r="G691" s="57"/>
      <c r="H691" s="57"/>
      <c r="I691" s="57"/>
      <c r="J691" s="54"/>
      <c r="K691" s="54"/>
    </row>
    <row r="692" spans="1:11" s="43" customFormat="1" hidden="1" x14ac:dyDescent="0.2">
      <c r="A692" s="54"/>
      <c r="B692" s="54"/>
      <c r="C692" s="54"/>
      <c r="D692" s="54"/>
      <c r="E692" s="54"/>
      <c r="F692" s="57"/>
      <c r="G692" s="57"/>
      <c r="H692" s="57"/>
      <c r="I692" s="57"/>
      <c r="J692" s="54"/>
      <c r="K692" s="54"/>
    </row>
    <row r="693" spans="1:11" s="43" customFormat="1" hidden="1" x14ac:dyDescent="0.2">
      <c r="A693" s="54"/>
      <c r="B693" s="54"/>
      <c r="C693" s="54"/>
      <c r="D693" s="54"/>
      <c r="E693" s="54"/>
      <c r="F693" s="57"/>
      <c r="G693" s="57"/>
      <c r="H693" s="57"/>
      <c r="I693" s="57"/>
      <c r="J693" s="54"/>
      <c r="K693" s="54"/>
    </row>
    <row r="694" spans="1:11" s="43" customFormat="1" hidden="1" x14ac:dyDescent="0.2">
      <c r="A694" s="54"/>
      <c r="B694" s="54"/>
      <c r="C694" s="54"/>
      <c r="D694" s="54"/>
      <c r="E694" s="54"/>
      <c r="F694" s="57"/>
      <c r="G694" s="57"/>
      <c r="H694" s="57"/>
      <c r="I694" s="57"/>
      <c r="J694" s="54"/>
      <c r="K694" s="54"/>
    </row>
    <row r="695" spans="1:11" s="43" customFormat="1" hidden="1" x14ac:dyDescent="0.2">
      <c r="A695" s="54"/>
      <c r="B695" s="54"/>
      <c r="C695" s="54"/>
      <c r="D695" s="54"/>
      <c r="E695" s="54"/>
      <c r="F695" s="57"/>
      <c r="G695" s="57"/>
      <c r="H695" s="57"/>
      <c r="I695" s="57"/>
      <c r="J695" s="54"/>
      <c r="K695" s="54"/>
    </row>
    <row r="696" spans="1:11" s="43" customFormat="1" hidden="1" x14ac:dyDescent="0.2">
      <c r="A696" s="54"/>
      <c r="B696" s="54"/>
      <c r="C696" s="54"/>
      <c r="D696" s="54"/>
      <c r="E696" s="54"/>
      <c r="F696" s="57"/>
      <c r="G696" s="57"/>
      <c r="H696" s="57"/>
      <c r="I696" s="57"/>
      <c r="J696" s="54"/>
      <c r="K696" s="54"/>
    </row>
    <row r="697" spans="1:11" s="43" customFormat="1" hidden="1" x14ac:dyDescent="0.2">
      <c r="A697" s="54"/>
      <c r="B697" s="54"/>
      <c r="C697" s="54"/>
      <c r="D697" s="54"/>
      <c r="E697" s="54"/>
      <c r="F697" s="57"/>
      <c r="G697" s="57"/>
      <c r="H697" s="57"/>
      <c r="I697" s="57"/>
      <c r="J697" s="54"/>
      <c r="K697" s="54"/>
    </row>
    <row r="698" spans="1:11" s="43" customFormat="1" hidden="1" x14ac:dyDescent="0.2">
      <c r="A698" s="54"/>
      <c r="B698" s="54"/>
      <c r="C698" s="54"/>
      <c r="D698" s="54"/>
      <c r="E698" s="54"/>
      <c r="F698" s="57"/>
      <c r="G698" s="57"/>
      <c r="H698" s="57"/>
      <c r="I698" s="57"/>
      <c r="J698" s="54"/>
      <c r="K698" s="54"/>
    </row>
    <row r="699" spans="1:11" s="43" customFormat="1" hidden="1" x14ac:dyDescent="0.2">
      <c r="A699" s="54"/>
      <c r="B699" s="54"/>
      <c r="C699" s="54"/>
      <c r="D699" s="54"/>
      <c r="E699" s="54"/>
      <c r="F699" s="57"/>
      <c r="G699" s="57"/>
      <c r="H699" s="57"/>
      <c r="I699" s="57"/>
      <c r="J699" s="54"/>
      <c r="K699" s="54"/>
    </row>
    <row r="700" spans="1:11" s="43" customFormat="1" hidden="1" x14ac:dyDescent="0.2">
      <c r="A700" s="54"/>
      <c r="B700" s="54"/>
      <c r="C700" s="54"/>
      <c r="D700" s="54"/>
      <c r="E700" s="54"/>
      <c r="F700" s="57"/>
      <c r="G700" s="57"/>
      <c r="H700" s="57"/>
      <c r="I700" s="57"/>
      <c r="J700" s="54"/>
      <c r="K700" s="54"/>
    </row>
    <row r="701" spans="1:11" s="43" customFormat="1" hidden="1" x14ac:dyDescent="0.2">
      <c r="A701" s="54"/>
      <c r="B701" s="54"/>
      <c r="C701" s="54"/>
      <c r="D701" s="54"/>
      <c r="E701" s="54"/>
      <c r="F701" s="57"/>
      <c r="G701" s="57"/>
      <c r="H701" s="57"/>
      <c r="I701" s="57"/>
      <c r="J701" s="54"/>
      <c r="K701" s="54"/>
    </row>
    <row r="702" spans="1:11" s="43" customFormat="1" hidden="1" x14ac:dyDescent="0.2">
      <c r="A702" s="54"/>
      <c r="B702" s="54"/>
      <c r="C702" s="54"/>
      <c r="D702" s="54"/>
      <c r="E702" s="54"/>
      <c r="F702" s="57"/>
      <c r="G702" s="57"/>
      <c r="H702" s="57"/>
      <c r="I702" s="57"/>
      <c r="J702" s="54"/>
      <c r="K702" s="54"/>
    </row>
    <row r="703" spans="1:11" s="43" customFormat="1" hidden="1" x14ac:dyDescent="0.2">
      <c r="A703" s="54"/>
      <c r="B703" s="54"/>
      <c r="C703" s="54"/>
      <c r="D703" s="54"/>
      <c r="E703" s="54"/>
      <c r="F703" s="57"/>
      <c r="G703" s="57"/>
      <c r="H703" s="57"/>
      <c r="I703" s="57"/>
      <c r="J703" s="54"/>
      <c r="K703" s="54"/>
    </row>
    <row r="704" spans="1:11" s="43" customFormat="1" hidden="1" x14ac:dyDescent="0.2">
      <c r="A704" s="54"/>
      <c r="B704" s="54"/>
      <c r="C704" s="54"/>
      <c r="D704" s="54"/>
      <c r="E704" s="54"/>
      <c r="F704" s="57"/>
      <c r="G704" s="57"/>
      <c r="H704" s="57"/>
      <c r="I704" s="57"/>
      <c r="J704" s="54"/>
      <c r="K704" s="54"/>
    </row>
    <row r="705" spans="1:11" s="43" customFormat="1" hidden="1" x14ac:dyDescent="0.2">
      <c r="A705" s="54"/>
      <c r="B705" s="54"/>
      <c r="C705" s="54"/>
      <c r="D705" s="54"/>
      <c r="E705" s="54"/>
      <c r="F705" s="57"/>
      <c r="G705" s="57"/>
      <c r="H705" s="57"/>
      <c r="I705" s="57"/>
      <c r="J705" s="54"/>
      <c r="K705" s="54"/>
    </row>
    <row r="706" spans="1:11" s="43" customFormat="1" hidden="1" x14ac:dyDescent="0.2">
      <c r="A706" s="54"/>
      <c r="B706" s="54"/>
      <c r="C706" s="54"/>
      <c r="D706" s="54"/>
      <c r="E706" s="54"/>
      <c r="F706" s="57"/>
      <c r="G706" s="57"/>
      <c r="H706" s="57"/>
      <c r="I706" s="57"/>
      <c r="J706" s="54"/>
      <c r="K706" s="54"/>
    </row>
    <row r="707" spans="1:11" s="43" customFormat="1" hidden="1" x14ac:dyDescent="0.2">
      <c r="A707" s="54"/>
      <c r="B707" s="54"/>
      <c r="C707" s="54"/>
      <c r="D707" s="54"/>
      <c r="E707" s="54"/>
      <c r="F707" s="57"/>
      <c r="G707" s="57"/>
      <c r="H707" s="57"/>
      <c r="I707" s="57"/>
      <c r="J707" s="54"/>
      <c r="K707" s="54"/>
    </row>
    <row r="708" spans="1:11" s="43" customFormat="1" hidden="1" x14ac:dyDescent="0.2">
      <c r="A708" s="54"/>
      <c r="B708" s="54"/>
      <c r="C708" s="54"/>
      <c r="D708" s="54"/>
      <c r="E708" s="54"/>
      <c r="F708" s="57"/>
      <c r="G708" s="57"/>
      <c r="H708" s="57"/>
      <c r="I708" s="57"/>
      <c r="J708" s="54"/>
      <c r="K708" s="54"/>
    </row>
    <row r="709" spans="1:11" s="43" customFormat="1" hidden="1" x14ac:dyDescent="0.2">
      <c r="A709" s="54"/>
      <c r="B709" s="54"/>
      <c r="C709" s="54"/>
      <c r="D709" s="54"/>
      <c r="E709" s="54"/>
      <c r="F709" s="57"/>
      <c r="G709" s="57"/>
      <c r="H709" s="57"/>
      <c r="I709" s="57"/>
      <c r="J709" s="54"/>
      <c r="K709" s="54"/>
    </row>
    <row r="710" spans="1:11" s="43" customFormat="1" hidden="1" x14ac:dyDescent="0.2">
      <c r="A710" s="54"/>
      <c r="B710" s="54"/>
      <c r="C710" s="54"/>
      <c r="D710" s="54"/>
      <c r="E710" s="54"/>
      <c r="F710" s="57"/>
      <c r="G710" s="57"/>
      <c r="H710" s="57"/>
      <c r="I710" s="57"/>
      <c r="J710" s="54"/>
      <c r="K710" s="54"/>
    </row>
    <row r="711" spans="1:11" s="43" customFormat="1" hidden="1" x14ac:dyDescent="0.2">
      <c r="A711" s="54"/>
      <c r="B711" s="54"/>
      <c r="C711" s="54"/>
      <c r="D711" s="54"/>
      <c r="E711" s="54"/>
      <c r="F711" s="57"/>
      <c r="G711" s="57"/>
      <c r="H711" s="57"/>
      <c r="I711" s="57"/>
      <c r="J711" s="54"/>
      <c r="K711" s="54"/>
    </row>
    <row r="712" spans="1:11" s="43" customFormat="1" hidden="1" x14ac:dyDescent="0.2">
      <c r="A712" s="54"/>
      <c r="B712" s="54"/>
      <c r="C712" s="54"/>
      <c r="D712" s="54"/>
      <c r="E712" s="54"/>
      <c r="F712" s="57"/>
      <c r="G712" s="57"/>
      <c r="H712" s="57"/>
      <c r="I712" s="57"/>
      <c r="J712" s="54"/>
      <c r="K712" s="54"/>
    </row>
    <row r="713" spans="1:11" s="43" customFormat="1" hidden="1" x14ac:dyDescent="0.2">
      <c r="A713" s="54"/>
      <c r="B713" s="54"/>
      <c r="C713" s="54"/>
      <c r="D713" s="54"/>
      <c r="E713" s="54"/>
      <c r="F713" s="57"/>
      <c r="G713" s="57"/>
      <c r="H713" s="57"/>
      <c r="I713" s="57"/>
      <c r="J713" s="54"/>
      <c r="K713" s="54"/>
    </row>
    <row r="714" spans="1:11" s="43" customFormat="1" hidden="1" x14ac:dyDescent="0.2">
      <c r="A714" s="54"/>
      <c r="B714" s="54"/>
      <c r="C714" s="54"/>
      <c r="D714" s="54"/>
      <c r="E714" s="54"/>
      <c r="F714" s="57"/>
      <c r="G714" s="57"/>
      <c r="H714" s="57"/>
      <c r="I714" s="57"/>
      <c r="J714" s="54"/>
      <c r="K714" s="54"/>
    </row>
    <row r="715" spans="1:11" s="43" customFormat="1" hidden="1" x14ac:dyDescent="0.2">
      <c r="A715" s="54"/>
      <c r="B715" s="54"/>
      <c r="C715" s="54"/>
      <c r="D715" s="54"/>
      <c r="E715" s="54"/>
      <c r="F715" s="57"/>
      <c r="G715" s="57"/>
      <c r="H715" s="57"/>
      <c r="I715" s="57"/>
      <c r="J715" s="54"/>
      <c r="K715" s="54"/>
    </row>
    <row r="716" spans="1:11" s="43" customFormat="1" hidden="1" x14ac:dyDescent="0.2">
      <c r="A716" s="54"/>
      <c r="B716" s="54"/>
      <c r="C716" s="54"/>
      <c r="D716" s="54"/>
      <c r="E716" s="54"/>
      <c r="F716" s="57"/>
      <c r="G716" s="57"/>
      <c r="H716" s="57"/>
      <c r="I716" s="57"/>
      <c r="J716" s="54"/>
      <c r="K716" s="54"/>
    </row>
    <row r="717" spans="1:11" s="43" customFormat="1" hidden="1" x14ac:dyDescent="0.2">
      <c r="A717" s="54"/>
      <c r="B717" s="54"/>
      <c r="C717" s="54"/>
      <c r="D717" s="54"/>
      <c r="E717" s="54"/>
      <c r="F717" s="57"/>
      <c r="G717" s="57"/>
      <c r="H717" s="57"/>
      <c r="I717" s="57"/>
      <c r="J717" s="54"/>
      <c r="K717" s="54"/>
    </row>
    <row r="718" spans="1:11" s="43" customFormat="1" hidden="1" x14ac:dyDescent="0.2">
      <c r="A718" s="54"/>
      <c r="B718" s="54"/>
      <c r="C718" s="54"/>
      <c r="D718" s="54"/>
      <c r="E718" s="54"/>
      <c r="F718" s="57"/>
      <c r="G718" s="57"/>
      <c r="H718" s="57"/>
      <c r="I718" s="57"/>
      <c r="J718" s="54"/>
      <c r="K718" s="54"/>
    </row>
    <row r="719" spans="1:11" s="43" customFormat="1" hidden="1" x14ac:dyDescent="0.2">
      <c r="A719" s="54"/>
      <c r="B719" s="54"/>
      <c r="C719" s="54"/>
      <c r="D719" s="54"/>
      <c r="E719" s="54"/>
      <c r="F719" s="57"/>
      <c r="G719" s="57"/>
      <c r="H719" s="57"/>
      <c r="I719" s="57"/>
      <c r="J719" s="54"/>
      <c r="K719" s="54"/>
    </row>
    <row r="720" spans="1:11" s="43" customFormat="1" hidden="1" x14ac:dyDescent="0.2">
      <c r="A720" s="54"/>
      <c r="B720" s="54"/>
      <c r="C720" s="54"/>
      <c r="D720" s="54"/>
      <c r="E720" s="54"/>
      <c r="F720" s="57"/>
      <c r="G720" s="57"/>
      <c r="H720" s="57"/>
      <c r="I720" s="57"/>
      <c r="J720" s="54"/>
      <c r="K720" s="54"/>
    </row>
    <row r="721" spans="1:11" s="43" customFormat="1" hidden="1" x14ac:dyDescent="0.2">
      <c r="A721" s="54"/>
      <c r="B721" s="54"/>
      <c r="C721" s="54"/>
      <c r="D721" s="54"/>
      <c r="E721" s="54"/>
      <c r="F721" s="57"/>
      <c r="G721" s="57"/>
      <c r="H721" s="57"/>
      <c r="I721" s="57"/>
      <c r="J721" s="54"/>
      <c r="K721" s="54"/>
    </row>
    <row r="722" spans="1:11" s="43" customFormat="1" hidden="1" x14ac:dyDescent="0.2">
      <c r="A722" s="54"/>
      <c r="B722" s="54"/>
      <c r="C722" s="54"/>
      <c r="D722" s="54"/>
      <c r="E722" s="54"/>
      <c r="F722" s="57"/>
      <c r="G722" s="57"/>
      <c r="H722" s="57"/>
      <c r="I722" s="57"/>
      <c r="J722" s="54"/>
      <c r="K722" s="54"/>
    </row>
    <row r="723" spans="1:11" s="43" customFormat="1" hidden="1" x14ac:dyDescent="0.2">
      <c r="A723" s="54"/>
      <c r="B723" s="54"/>
      <c r="C723" s="54"/>
      <c r="D723" s="54"/>
      <c r="E723" s="54"/>
      <c r="F723" s="57"/>
      <c r="G723" s="57"/>
      <c r="H723" s="57"/>
      <c r="I723" s="57"/>
      <c r="J723" s="54"/>
      <c r="K723" s="54"/>
    </row>
    <row r="724" spans="1:11" s="43" customFormat="1" hidden="1" x14ac:dyDescent="0.2">
      <c r="A724" s="54"/>
      <c r="B724" s="54"/>
      <c r="C724" s="54"/>
      <c r="D724" s="54"/>
      <c r="E724" s="54"/>
      <c r="F724" s="57"/>
      <c r="G724" s="57"/>
      <c r="H724" s="57"/>
      <c r="I724" s="57"/>
      <c r="J724" s="54"/>
      <c r="K724" s="54"/>
    </row>
    <row r="725" spans="1:11" s="43" customFormat="1" hidden="1" x14ac:dyDescent="0.2">
      <c r="A725" s="54"/>
      <c r="B725" s="54"/>
      <c r="C725" s="54"/>
      <c r="D725" s="54"/>
      <c r="E725" s="54"/>
      <c r="F725" s="57"/>
      <c r="G725" s="57"/>
      <c r="H725" s="57"/>
      <c r="I725" s="57"/>
      <c r="J725" s="54"/>
      <c r="K725" s="54"/>
    </row>
    <row r="726" spans="1:11" s="43" customFormat="1" hidden="1" x14ac:dyDescent="0.2">
      <c r="A726" s="54"/>
      <c r="B726" s="54"/>
      <c r="C726" s="54"/>
      <c r="D726" s="54"/>
      <c r="E726" s="54"/>
      <c r="F726" s="57"/>
      <c r="G726" s="57"/>
      <c r="H726" s="57"/>
      <c r="I726" s="57"/>
      <c r="J726" s="54"/>
      <c r="K726" s="54"/>
    </row>
    <row r="727" spans="1:11" s="43" customFormat="1" hidden="1" x14ac:dyDescent="0.2">
      <c r="A727" s="54"/>
      <c r="B727" s="54"/>
      <c r="C727" s="54"/>
      <c r="D727" s="54"/>
      <c r="E727" s="54"/>
      <c r="F727" s="57"/>
      <c r="G727" s="57"/>
      <c r="H727" s="57"/>
      <c r="I727" s="57"/>
      <c r="J727" s="54"/>
      <c r="K727" s="54"/>
    </row>
    <row r="728" spans="1:11" s="43" customFormat="1" hidden="1" x14ac:dyDescent="0.2">
      <c r="A728" s="54"/>
      <c r="B728" s="54"/>
      <c r="C728" s="54"/>
      <c r="D728" s="54"/>
      <c r="E728" s="54"/>
      <c r="F728" s="57"/>
      <c r="G728" s="57"/>
      <c r="H728" s="57"/>
      <c r="I728" s="57"/>
      <c r="J728" s="54"/>
      <c r="K728" s="54"/>
    </row>
    <row r="729" spans="1:11" s="43" customFormat="1" hidden="1" x14ac:dyDescent="0.2">
      <c r="A729" s="54"/>
      <c r="B729" s="54"/>
      <c r="C729" s="54"/>
      <c r="D729" s="54"/>
      <c r="E729" s="54"/>
      <c r="F729" s="57"/>
      <c r="G729" s="57"/>
      <c r="H729" s="57"/>
      <c r="I729" s="57"/>
      <c r="J729" s="54"/>
      <c r="K729" s="54"/>
    </row>
    <row r="730" spans="1:11" s="43" customFormat="1" hidden="1" x14ac:dyDescent="0.2">
      <c r="A730" s="54"/>
      <c r="B730" s="54"/>
      <c r="C730" s="54"/>
      <c r="D730" s="54"/>
      <c r="E730" s="54"/>
      <c r="F730" s="57"/>
      <c r="G730" s="57"/>
      <c r="H730" s="57"/>
      <c r="I730" s="57"/>
      <c r="J730" s="54"/>
      <c r="K730" s="54"/>
    </row>
    <row r="731" spans="1:11" s="43" customFormat="1" hidden="1" x14ac:dyDescent="0.2">
      <c r="A731" s="54"/>
      <c r="B731" s="54"/>
      <c r="C731" s="54"/>
      <c r="D731" s="54"/>
      <c r="E731" s="54"/>
      <c r="F731" s="57"/>
      <c r="G731" s="57"/>
      <c r="H731" s="57"/>
      <c r="I731" s="57"/>
      <c r="J731" s="54"/>
      <c r="K731" s="54"/>
    </row>
    <row r="732" spans="1:11" s="43" customFormat="1" hidden="1" x14ac:dyDescent="0.2">
      <c r="A732" s="54"/>
      <c r="B732" s="54"/>
      <c r="C732" s="54"/>
      <c r="D732" s="54"/>
      <c r="E732" s="54"/>
      <c r="F732" s="57"/>
      <c r="G732" s="57"/>
      <c r="H732" s="57"/>
      <c r="I732" s="57"/>
      <c r="J732" s="54"/>
      <c r="K732" s="54"/>
    </row>
    <row r="733" spans="1:11" s="43" customFormat="1" hidden="1" x14ac:dyDescent="0.2">
      <c r="A733" s="54"/>
      <c r="B733" s="54"/>
      <c r="C733" s="54"/>
      <c r="D733" s="54"/>
      <c r="E733" s="54"/>
      <c r="F733" s="57"/>
      <c r="G733" s="57"/>
      <c r="H733" s="57"/>
      <c r="I733" s="57"/>
      <c r="J733" s="54"/>
      <c r="K733" s="54"/>
    </row>
    <row r="734" spans="1:11" s="43" customFormat="1" hidden="1" x14ac:dyDescent="0.2">
      <c r="A734" s="54"/>
      <c r="B734" s="54"/>
      <c r="C734" s="54"/>
      <c r="D734" s="54"/>
      <c r="E734" s="54"/>
      <c r="F734" s="57"/>
      <c r="G734" s="57"/>
      <c r="H734" s="57"/>
      <c r="I734" s="57"/>
      <c r="J734" s="54"/>
      <c r="K734" s="54"/>
    </row>
    <row r="735" spans="1:11" s="43" customFormat="1" hidden="1" x14ac:dyDescent="0.2">
      <c r="A735" s="54"/>
      <c r="B735" s="54"/>
      <c r="C735" s="54"/>
      <c r="D735" s="54"/>
      <c r="E735" s="54"/>
      <c r="F735" s="57"/>
      <c r="G735" s="57"/>
      <c r="H735" s="57"/>
      <c r="I735" s="57"/>
      <c r="J735" s="54"/>
      <c r="K735" s="54"/>
    </row>
    <row r="736" spans="1:11" s="43" customFormat="1" hidden="1" x14ac:dyDescent="0.2">
      <c r="A736" s="54"/>
      <c r="B736" s="54"/>
      <c r="C736" s="54"/>
      <c r="D736" s="54"/>
      <c r="E736" s="54"/>
      <c r="F736" s="57"/>
      <c r="G736" s="57"/>
      <c r="H736" s="57"/>
      <c r="I736" s="57"/>
      <c r="J736" s="54"/>
      <c r="K736" s="54"/>
    </row>
    <row r="737" spans="1:11" s="43" customFormat="1" hidden="1" x14ac:dyDescent="0.2">
      <c r="A737" s="54"/>
      <c r="B737" s="54"/>
      <c r="C737" s="54"/>
      <c r="D737" s="54"/>
      <c r="E737" s="54"/>
      <c r="F737" s="57"/>
      <c r="G737" s="57"/>
      <c r="H737" s="57"/>
      <c r="I737" s="57"/>
      <c r="J737" s="54"/>
      <c r="K737" s="54"/>
    </row>
    <row r="738" spans="1:11" s="43" customFormat="1" hidden="1" x14ac:dyDescent="0.2">
      <c r="A738" s="54"/>
      <c r="B738" s="54"/>
      <c r="C738" s="54"/>
      <c r="D738" s="54"/>
      <c r="E738" s="54"/>
      <c r="F738" s="57"/>
      <c r="G738" s="57"/>
      <c r="H738" s="57"/>
      <c r="I738" s="57"/>
      <c r="J738" s="54"/>
      <c r="K738" s="54"/>
    </row>
    <row r="739" spans="1:11" s="43" customFormat="1" hidden="1" x14ac:dyDescent="0.2">
      <c r="A739" s="54"/>
      <c r="B739" s="54"/>
      <c r="C739" s="54"/>
      <c r="D739" s="54"/>
      <c r="E739" s="54"/>
      <c r="F739" s="57"/>
      <c r="G739" s="57"/>
      <c r="H739" s="57"/>
      <c r="I739" s="57"/>
      <c r="J739" s="54"/>
      <c r="K739" s="54"/>
    </row>
    <row r="740" spans="1:11" s="43" customFormat="1" hidden="1" x14ac:dyDescent="0.2">
      <c r="A740" s="54"/>
      <c r="B740" s="54"/>
      <c r="C740" s="54"/>
      <c r="D740" s="54"/>
      <c r="E740" s="54"/>
      <c r="F740" s="57"/>
      <c r="G740" s="57"/>
      <c r="H740" s="57"/>
      <c r="I740" s="57"/>
      <c r="J740" s="54"/>
      <c r="K740" s="54"/>
    </row>
    <row r="741" spans="1:11" s="43" customFormat="1" hidden="1" x14ac:dyDescent="0.2">
      <c r="A741" s="54"/>
      <c r="B741" s="54"/>
      <c r="C741" s="54"/>
      <c r="D741" s="54"/>
      <c r="E741" s="54"/>
      <c r="F741" s="57"/>
      <c r="G741" s="57"/>
      <c r="H741" s="57"/>
      <c r="I741" s="57"/>
      <c r="J741" s="54"/>
      <c r="K741" s="54"/>
    </row>
    <row r="742" spans="1:11" s="43" customFormat="1" hidden="1" x14ac:dyDescent="0.2">
      <c r="A742" s="54"/>
      <c r="B742" s="54"/>
      <c r="C742" s="54"/>
      <c r="D742" s="54"/>
      <c r="E742" s="54"/>
      <c r="F742" s="57"/>
      <c r="G742" s="57"/>
      <c r="H742" s="57"/>
      <c r="I742" s="57"/>
      <c r="J742" s="54"/>
      <c r="K742" s="54"/>
    </row>
    <row r="743" spans="1:11" s="43" customFormat="1" hidden="1" x14ac:dyDescent="0.2">
      <c r="A743" s="54"/>
      <c r="B743" s="54"/>
      <c r="C743" s="54"/>
      <c r="D743" s="54"/>
      <c r="E743" s="54"/>
      <c r="F743" s="57"/>
      <c r="G743" s="57"/>
      <c r="H743" s="57"/>
      <c r="I743" s="57"/>
      <c r="J743" s="54"/>
      <c r="K743" s="54"/>
    </row>
    <row r="744" spans="1:11" s="43" customFormat="1" hidden="1" x14ac:dyDescent="0.2">
      <c r="A744" s="54"/>
      <c r="B744" s="54"/>
      <c r="C744" s="54"/>
      <c r="D744" s="54"/>
      <c r="E744" s="54"/>
      <c r="F744" s="57"/>
      <c r="G744" s="57"/>
      <c r="H744" s="57"/>
      <c r="I744" s="57"/>
      <c r="J744" s="54"/>
      <c r="K744" s="54"/>
    </row>
    <row r="745" spans="1:11" s="43" customFormat="1" hidden="1" x14ac:dyDescent="0.2">
      <c r="A745" s="54"/>
      <c r="B745" s="54"/>
      <c r="C745" s="54"/>
      <c r="D745" s="54"/>
      <c r="E745" s="54"/>
      <c r="F745" s="57"/>
      <c r="G745" s="57"/>
      <c r="H745" s="57"/>
      <c r="I745" s="57"/>
      <c r="J745" s="54"/>
      <c r="K745" s="54"/>
    </row>
    <row r="746" spans="1:11" s="43" customFormat="1" hidden="1" x14ac:dyDescent="0.2">
      <c r="A746" s="54"/>
      <c r="B746" s="54"/>
      <c r="C746" s="54"/>
      <c r="D746" s="54"/>
      <c r="E746" s="54"/>
      <c r="F746" s="57"/>
      <c r="G746" s="57"/>
      <c r="H746" s="57"/>
      <c r="I746" s="57"/>
      <c r="J746" s="54"/>
      <c r="K746" s="54"/>
    </row>
    <row r="747" spans="1:11" s="43" customFormat="1" hidden="1" x14ac:dyDescent="0.2">
      <c r="A747" s="54"/>
      <c r="B747" s="54"/>
      <c r="C747" s="54"/>
      <c r="D747" s="54"/>
      <c r="E747" s="54"/>
      <c r="F747" s="57"/>
      <c r="G747" s="57"/>
      <c r="H747" s="57"/>
      <c r="I747" s="57"/>
      <c r="J747" s="54"/>
      <c r="K747" s="54"/>
    </row>
    <row r="748" spans="1:11" s="43" customFormat="1" hidden="1" x14ac:dyDescent="0.2">
      <c r="A748" s="54"/>
      <c r="B748" s="54"/>
      <c r="C748" s="54"/>
      <c r="D748" s="54"/>
      <c r="E748" s="54"/>
      <c r="F748" s="57"/>
      <c r="G748" s="57"/>
      <c r="H748" s="57"/>
      <c r="I748" s="57"/>
      <c r="J748" s="54"/>
      <c r="K748" s="54"/>
    </row>
    <row r="749" spans="1:11" s="43" customFormat="1" hidden="1" x14ac:dyDescent="0.2">
      <c r="A749" s="54"/>
      <c r="B749" s="54"/>
      <c r="C749" s="54"/>
      <c r="D749" s="54"/>
      <c r="E749" s="54"/>
      <c r="F749" s="57"/>
      <c r="G749" s="57"/>
      <c r="H749" s="57"/>
      <c r="I749" s="57"/>
      <c r="J749" s="54"/>
      <c r="K749" s="54"/>
    </row>
    <row r="750" spans="1:11" s="43" customFormat="1" hidden="1" x14ac:dyDescent="0.2">
      <c r="A750" s="54"/>
      <c r="B750" s="54"/>
      <c r="C750" s="54"/>
      <c r="D750" s="54"/>
      <c r="E750" s="54"/>
      <c r="F750" s="57"/>
      <c r="G750" s="57"/>
      <c r="H750" s="57"/>
      <c r="I750" s="57"/>
      <c r="J750" s="54"/>
      <c r="K750" s="54"/>
    </row>
    <row r="751" spans="1:11" s="43" customFormat="1" hidden="1" x14ac:dyDescent="0.2">
      <c r="A751" s="54"/>
      <c r="B751" s="54"/>
      <c r="C751" s="54"/>
      <c r="D751" s="54"/>
      <c r="E751" s="54"/>
      <c r="F751" s="57"/>
      <c r="G751" s="57"/>
      <c r="H751" s="57"/>
      <c r="I751" s="57"/>
      <c r="J751" s="54"/>
      <c r="K751" s="54"/>
    </row>
    <row r="752" spans="1:11" s="43" customFormat="1" hidden="1" x14ac:dyDescent="0.2">
      <c r="A752" s="54"/>
      <c r="B752" s="54"/>
      <c r="C752" s="54"/>
      <c r="D752" s="54"/>
      <c r="E752" s="54"/>
      <c r="F752" s="57"/>
      <c r="G752" s="57"/>
      <c r="H752" s="57"/>
      <c r="I752" s="57"/>
      <c r="J752" s="54"/>
      <c r="K752" s="54"/>
    </row>
    <row r="753" spans="1:11" s="43" customFormat="1" hidden="1" x14ac:dyDescent="0.2">
      <c r="A753" s="54"/>
      <c r="B753" s="54"/>
      <c r="C753" s="54"/>
      <c r="D753" s="54"/>
      <c r="E753" s="54"/>
      <c r="F753" s="57"/>
      <c r="G753" s="57"/>
      <c r="H753" s="57"/>
      <c r="I753" s="57"/>
      <c r="J753" s="54"/>
      <c r="K753" s="54"/>
    </row>
    <row r="754" spans="1:11" s="43" customFormat="1" hidden="1" x14ac:dyDescent="0.2">
      <c r="A754" s="54"/>
      <c r="B754" s="54"/>
      <c r="C754" s="54"/>
      <c r="D754" s="54"/>
      <c r="E754" s="54"/>
      <c r="F754" s="57"/>
      <c r="G754" s="57"/>
      <c r="H754" s="57"/>
      <c r="I754" s="57"/>
      <c r="J754" s="54"/>
      <c r="K754" s="54"/>
    </row>
    <row r="755" spans="1:11" s="43" customFormat="1" hidden="1" x14ac:dyDescent="0.2">
      <c r="A755" s="54"/>
      <c r="B755" s="54"/>
      <c r="C755" s="54"/>
      <c r="D755" s="54"/>
      <c r="E755" s="54"/>
      <c r="F755" s="57"/>
      <c r="G755" s="57"/>
      <c r="H755" s="57"/>
      <c r="I755" s="57"/>
      <c r="J755" s="54"/>
      <c r="K755" s="54"/>
    </row>
    <row r="756" spans="1:11" s="43" customFormat="1" hidden="1" x14ac:dyDescent="0.2">
      <c r="A756" s="54"/>
      <c r="B756" s="54"/>
      <c r="C756" s="54"/>
      <c r="D756" s="54"/>
      <c r="E756" s="54"/>
      <c r="F756" s="57"/>
      <c r="G756" s="57"/>
      <c r="H756" s="57"/>
      <c r="I756" s="57"/>
      <c r="J756" s="54"/>
      <c r="K756" s="54"/>
    </row>
    <row r="757" spans="1:11" s="43" customFormat="1" hidden="1" x14ac:dyDescent="0.2">
      <c r="A757" s="54"/>
      <c r="B757" s="54"/>
      <c r="C757" s="54"/>
      <c r="D757" s="54"/>
      <c r="E757" s="54"/>
      <c r="F757" s="57"/>
      <c r="G757" s="57"/>
      <c r="H757" s="57"/>
      <c r="I757" s="57"/>
      <c r="J757" s="54"/>
      <c r="K757" s="54"/>
    </row>
    <row r="758" spans="1:11" s="43" customFormat="1" hidden="1" x14ac:dyDescent="0.2">
      <c r="A758" s="54"/>
      <c r="B758" s="54"/>
      <c r="C758" s="54"/>
      <c r="D758" s="54"/>
      <c r="E758" s="54"/>
      <c r="F758" s="57"/>
      <c r="G758" s="57"/>
      <c r="H758" s="57"/>
      <c r="I758" s="57"/>
      <c r="J758" s="54"/>
      <c r="K758" s="54"/>
    </row>
    <row r="759" spans="1:11" s="43" customFormat="1" hidden="1" x14ac:dyDescent="0.2">
      <c r="A759" s="54"/>
      <c r="B759" s="54"/>
      <c r="C759" s="54"/>
      <c r="D759" s="54"/>
      <c r="E759" s="54"/>
      <c r="F759" s="57"/>
      <c r="G759" s="57"/>
      <c r="H759" s="57"/>
      <c r="I759" s="57"/>
      <c r="J759" s="54"/>
      <c r="K759" s="54"/>
    </row>
    <row r="760" spans="1:11" s="43" customFormat="1" hidden="1" x14ac:dyDescent="0.2">
      <c r="A760" s="54"/>
      <c r="B760" s="54"/>
      <c r="C760" s="54"/>
      <c r="D760" s="54"/>
      <c r="E760" s="54"/>
      <c r="F760" s="57"/>
      <c r="G760" s="57"/>
      <c r="H760" s="57"/>
      <c r="I760" s="57"/>
      <c r="J760" s="54"/>
      <c r="K760" s="54"/>
    </row>
    <row r="761" spans="1:11" s="43" customFormat="1" hidden="1" x14ac:dyDescent="0.2">
      <c r="A761" s="54"/>
      <c r="B761" s="54"/>
      <c r="C761" s="54"/>
      <c r="D761" s="54"/>
      <c r="E761" s="54"/>
      <c r="F761" s="57"/>
      <c r="G761" s="57"/>
      <c r="H761" s="57"/>
      <c r="I761" s="57"/>
      <c r="J761" s="54"/>
      <c r="K761" s="54"/>
    </row>
    <row r="762" spans="1:11" s="43" customFormat="1" hidden="1" x14ac:dyDescent="0.2">
      <c r="A762" s="54"/>
      <c r="B762" s="54"/>
      <c r="C762" s="54"/>
      <c r="D762" s="54"/>
      <c r="E762" s="54"/>
      <c r="F762" s="57"/>
      <c r="G762" s="57"/>
      <c r="H762" s="57"/>
      <c r="I762" s="57"/>
      <c r="J762" s="54"/>
      <c r="K762" s="54"/>
    </row>
    <row r="763" spans="1:11" s="43" customFormat="1" hidden="1" x14ac:dyDescent="0.2">
      <c r="A763" s="54"/>
      <c r="B763" s="54"/>
      <c r="C763" s="54"/>
      <c r="D763" s="54"/>
      <c r="E763" s="54"/>
      <c r="F763" s="57"/>
      <c r="G763" s="57"/>
      <c r="H763" s="57"/>
      <c r="I763" s="57"/>
      <c r="J763" s="54"/>
      <c r="K763" s="54"/>
    </row>
    <row r="764" spans="1:11" s="43" customFormat="1" hidden="1" x14ac:dyDescent="0.2">
      <c r="A764" s="54"/>
      <c r="B764" s="54"/>
      <c r="C764" s="54"/>
      <c r="D764" s="54"/>
      <c r="E764" s="54"/>
      <c r="F764" s="57"/>
      <c r="G764" s="57"/>
      <c r="H764" s="57"/>
      <c r="I764" s="57"/>
      <c r="J764" s="54"/>
      <c r="K764" s="54"/>
    </row>
    <row r="765" spans="1:11" s="43" customFormat="1" hidden="1" x14ac:dyDescent="0.2">
      <c r="A765" s="54"/>
      <c r="B765" s="54"/>
      <c r="C765" s="54"/>
      <c r="D765" s="54"/>
      <c r="E765" s="54"/>
      <c r="F765" s="57"/>
      <c r="G765" s="57"/>
      <c r="H765" s="57"/>
      <c r="I765" s="57"/>
      <c r="J765" s="54"/>
      <c r="K765" s="54"/>
    </row>
    <row r="766" spans="1:11" s="43" customFormat="1" hidden="1" x14ac:dyDescent="0.2">
      <c r="A766" s="54"/>
      <c r="B766" s="54"/>
      <c r="C766" s="54"/>
      <c r="D766" s="54"/>
      <c r="E766" s="54"/>
      <c r="F766" s="57"/>
      <c r="G766" s="57"/>
      <c r="H766" s="57"/>
      <c r="I766" s="57"/>
      <c r="J766" s="54"/>
      <c r="K766" s="54"/>
    </row>
    <row r="767" spans="1:11" s="43" customFormat="1" hidden="1" x14ac:dyDescent="0.2">
      <c r="A767" s="54"/>
      <c r="B767" s="54"/>
      <c r="C767" s="54"/>
      <c r="D767" s="54"/>
      <c r="E767" s="54"/>
      <c r="F767" s="57"/>
      <c r="G767" s="57"/>
      <c r="H767" s="57"/>
      <c r="I767" s="57"/>
      <c r="J767" s="54"/>
      <c r="K767" s="54"/>
    </row>
    <row r="768" spans="1:11" s="43" customFormat="1" hidden="1" x14ac:dyDescent="0.2">
      <c r="A768" s="54"/>
      <c r="B768" s="54"/>
      <c r="C768" s="54"/>
      <c r="D768" s="54"/>
      <c r="E768" s="54"/>
      <c r="F768" s="57"/>
      <c r="G768" s="57"/>
      <c r="H768" s="57"/>
      <c r="I768" s="57"/>
      <c r="J768" s="54"/>
      <c r="K768" s="54"/>
    </row>
    <row r="769" spans="1:11" s="43" customFormat="1" hidden="1" x14ac:dyDescent="0.2">
      <c r="A769" s="54"/>
      <c r="B769" s="54"/>
      <c r="C769" s="54"/>
      <c r="D769" s="54"/>
      <c r="E769" s="54"/>
      <c r="F769" s="57"/>
      <c r="G769" s="57"/>
      <c r="H769" s="57"/>
      <c r="I769" s="57"/>
      <c r="J769" s="54"/>
      <c r="K769" s="54"/>
    </row>
    <row r="770" spans="1:11" s="43" customFormat="1" hidden="1" x14ac:dyDescent="0.2">
      <c r="A770" s="54"/>
      <c r="B770" s="54"/>
      <c r="C770" s="54"/>
      <c r="D770" s="54"/>
      <c r="E770" s="54"/>
      <c r="F770" s="57"/>
      <c r="G770" s="57"/>
      <c r="H770" s="57"/>
      <c r="I770" s="57"/>
      <c r="J770" s="54"/>
      <c r="K770" s="54"/>
    </row>
    <row r="771" spans="1:11" s="43" customFormat="1" hidden="1" x14ac:dyDescent="0.2">
      <c r="A771" s="54"/>
      <c r="B771" s="54"/>
      <c r="C771" s="54"/>
      <c r="D771" s="54"/>
      <c r="E771" s="54"/>
      <c r="F771" s="57"/>
      <c r="G771" s="57"/>
      <c r="H771" s="57"/>
      <c r="I771" s="57"/>
      <c r="J771" s="54"/>
      <c r="K771" s="54"/>
    </row>
    <row r="772" spans="1:11" s="43" customFormat="1" hidden="1" x14ac:dyDescent="0.2">
      <c r="A772" s="54"/>
      <c r="B772" s="54"/>
      <c r="C772" s="54"/>
      <c r="D772" s="54"/>
      <c r="E772" s="54"/>
      <c r="F772" s="57"/>
      <c r="G772" s="57"/>
      <c r="H772" s="57"/>
      <c r="I772" s="57"/>
      <c r="J772" s="54"/>
      <c r="K772" s="54"/>
    </row>
    <row r="773" spans="1:11" s="43" customFormat="1" hidden="1" x14ac:dyDescent="0.2">
      <c r="A773" s="54"/>
      <c r="B773" s="54"/>
      <c r="C773" s="54"/>
      <c r="D773" s="54"/>
      <c r="E773" s="54"/>
      <c r="F773" s="57"/>
      <c r="G773" s="57"/>
      <c r="H773" s="57"/>
      <c r="I773" s="57"/>
      <c r="J773" s="54"/>
      <c r="K773" s="54"/>
    </row>
    <row r="774" spans="1:11" s="43" customFormat="1" hidden="1" x14ac:dyDescent="0.2">
      <c r="A774" s="54"/>
      <c r="B774" s="54"/>
      <c r="C774" s="54"/>
      <c r="D774" s="54"/>
      <c r="E774" s="54"/>
      <c r="F774" s="57"/>
      <c r="G774" s="57"/>
      <c r="H774" s="57"/>
      <c r="I774" s="57"/>
      <c r="J774" s="54"/>
      <c r="K774" s="54"/>
    </row>
    <row r="775" spans="1:11" s="43" customFormat="1" hidden="1" x14ac:dyDescent="0.2">
      <c r="A775" s="54"/>
      <c r="B775" s="54"/>
      <c r="C775" s="54"/>
      <c r="D775" s="54"/>
      <c r="E775" s="54"/>
      <c r="F775" s="57"/>
      <c r="G775" s="57"/>
      <c r="H775" s="57"/>
      <c r="I775" s="57"/>
      <c r="J775" s="54"/>
      <c r="K775" s="54"/>
    </row>
    <row r="776" spans="1:11" s="43" customFormat="1" hidden="1" x14ac:dyDescent="0.2">
      <c r="A776" s="54"/>
      <c r="B776" s="54"/>
      <c r="C776" s="54"/>
      <c r="D776" s="54"/>
      <c r="E776" s="54"/>
      <c r="F776" s="57"/>
      <c r="G776" s="57"/>
      <c r="H776" s="57"/>
      <c r="I776" s="57"/>
      <c r="J776" s="54"/>
      <c r="K776" s="54"/>
    </row>
    <row r="777" spans="1:11" s="43" customFormat="1" hidden="1" x14ac:dyDescent="0.2">
      <c r="A777" s="54"/>
      <c r="B777" s="54"/>
      <c r="C777" s="54"/>
      <c r="D777" s="54"/>
      <c r="E777" s="54"/>
      <c r="F777" s="57"/>
      <c r="G777" s="57"/>
      <c r="H777" s="57"/>
      <c r="I777" s="57"/>
      <c r="J777" s="54"/>
      <c r="K777" s="54"/>
    </row>
    <row r="778" spans="1:11" s="43" customFormat="1" hidden="1" x14ac:dyDescent="0.2">
      <c r="A778" s="54"/>
      <c r="B778" s="54"/>
      <c r="C778" s="54"/>
      <c r="D778" s="54"/>
      <c r="E778" s="54"/>
      <c r="F778" s="57"/>
      <c r="G778" s="57"/>
      <c r="H778" s="57"/>
      <c r="I778" s="57"/>
      <c r="J778" s="54"/>
      <c r="K778" s="54"/>
    </row>
    <row r="779" spans="1:11" s="43" customFormat="1" hidden="1" x14ac:dyDescent="0.2">
      <c r="A779" s="54"/>
      <c r="B779" s="54"/>
      <c r="C779" s="54"/>
      <c r="D779" s="54"/>
      <c r="E779" s="54"/>
      <c r="F779" s="57"/>
      <c r="G779" s="57"/>
      <c r="H779" s="57"/>
      <c r="I779" s="57"/>
      <c r="J779" s="54"/>
      <c r="K779" s="54"/>
    </row>
    <row r="780" spans="1:11" s="43" customFormat="1" hidden="1" x14ac:dyDescent="0.2">
      <c r="A780" s="54"/>
      <c r="B780" s="54"/>
      <c r="C780" s="54"/>
      <c r="D780" s="54"/>
      <c r="E780" s="54"/>
      <c r="F780" s="57"/>
      <c r="G780" s="57"/>
      <c r="H780" s="57"/>
      <c r="I780" s="57"/>
      <c r="J780" s="54"/>
      <c r="K780" s="54"/>
    </row>
    <row r="781" spans="1:11" s="43" customFormat="1" hidden="1" x14ac:dyDescent="0.2">
      <c r="A781" s="54"/>
      <c r="B781" s="54"/>
      <c r="C781" s="54"/>
      <c r="D781" s="54"/>
      <c r="E781" s="54"/>
      <c r="F781" s="57"/>
      <c r="G781" s="57"/>
      <c r="H781" s="57"/>
      <c r="I781" s="57"/>
      <c r="J781" s="54"/>
      <c r="K781" s="54"/>
    </row>
    <row r="782" spans="1:11" s="43" customFormat="1" hidden="1" x14ac:dyDescent="0.2">
      <c r="A782" s="54"/>
      <c r="B782" s="54"/>
      <c r="C782" s="54"/>
      <c r="D782" s="54"/>
      <c r="E782" s="54"/>
      <c r="F782" s="57"/>
      <c r="G782" s="57"/>
      <c r="H782" s="57"/>
      <c r="I782" s="57"/>
      <c r="J782" s="54"/>
      <c r="K782" s="54"/>
    </row>
    <row r="783" spans="1:11" s="43" customFormat="1" hidden="1" x14ac:dyDescent="0.2">
      <c r="A783" s="54"/>
      <c r="B783" s="54"/>
      <c r="C783" s="54"/>
      <c r="D783" s="54"/>
      <c r="E783" s="54"/>
      <c r="F783" s="57"/>
      <c r="G783" s="57"/>
      <c r="H783" s="57"/>
      <c r="I783" s="57"/>
      <c r="J783" s="54"/>
      <c r="K783" s="54"/>
    </row>
    <row r="784" spans="1:11" s="43" customFormat="1" hidden="1" x14ac:dyDescent="0.2">
      <c r="A784" s="54"/>
      <c r="B784" s="54"/>
      <c r="C784" s="54"/>
      <c r="D784" s="54"/>
      <c r="E784" s="54"/>
      <c r="F784" s="57"/>
      <c r="G784" s="57"/>
      <c r="H784" s="57"/>
      <c r="I784" s="57"/>
      <c r="J784" s="54"/>
      <c r="K784" s="54"/>
    </row>
    <row r="785" spans="1:11" s="43" customFormat="1" hidden="1" x14ac:dyDescent="0.2">
      <c r="A785" s="54"/>
      <c r="B785" s="54"/>
      <c r="C785" s="54"/>
      <c r="D785" s="54"/>
      <c r="E785" s="54"/>
      <c r="F785" s="57"/>
      <c r="G785" s="57"/>
      <c r="H785" s="57"/>
      <c r="I785" s="57"/>
      <c r="J785" s="54"/>
      <c r="K785" s="54"/>
    </row>
    <row r="786" spans="1:11" s="43" customFormat="1" hidden="1" x14ac:dyDescent="0.2">
      <c r="A786" s="54"/>
      <c r="B786" s="54"/>
      <c r="C786" s="54"/>
      <c r="D786" s="54"/>
      <c r="E786" s="54"/>
      <c r="F786" s="57"/>
      <c r="G786" s="57"/>
      <c r="H786" s="57"/>
      <c r="I786" s="57"/>
      <c r="J786" s="54"/>
      <c r="K786" s="54"/>
    </row>
    <row r="787" spans="1:11" hidden="1" x14ac:dyDescent="0.2">
      <c r="B787" s="54"/>
      <c r="C787" s="54"/>
      <c r="D787" s="54"/>
      <c r="E787" s="54"/>
      <c r="F787" s="57"/>
      <c r="G787" s="57"/>
      <c r="H787" s="57"/>
      <c r="I787" s="57"/>
    </row>
    <row r="788" spans="1:11" hidden="1" x14ac:dyDescent="0.2">
      <c r="B788" s="54"/>
      <c r="C788" s="54"/>
      <c r="D788" s="54"/>
      <c r="E788" s="54"/>
      <c r="F788" s="57"/>
      <c r="G788" s="57"/>
      <c r="H788" s="57"/>
      <c r="I788" s="57"/>
    </row>
    <row r="789" spans="1:11" hidden="1" x14ac:dyDescent="0.2">
      <c r="B789" s="54"/>
      <c r="C789" s="54"/>
      <c r="D789" s="54"/>
      <c r="E789" s="54"/>
      <c r="F789" s="57"/>
      <c r="G789" s="57"/>
      <c r="H789" s="57"/>
      <c r="I789" s="57"/>
    </row>
    <row r="790" spans="1:11" hidden="1" x14ac:dyDescent="0.2">
      <c r="B790" s="54"/>
      <c r="C790" s="54"/>
      <c r="D790" s="54"/>
      <c r="E790" s="54"/>
      <c r="F790" s="57"/>
      <c r="G790" s="57"/>
      <c r="H790" s="57"/>
      <c r="I790" s="57"/>
    </row>
    <row r="791" spans="1:11" hidden="1" x14ac:dyDescent="0.2">
      <c r="B791" s="54"/>
      <c r="C791" s="54"/>
      <c r="D791" s="54"/>
      <c r="E791" s="54"/>
      <c r="F791" s="57"/>
      <c r="G791" s="57"/>
      <c r="H791" s="57"/>
      <c r="I791" s="57"/>
    </row>
    <row r="792" spans="1:11" hidden="1" x14ac:dyDescent="0.2">
      <c r="B792" s="54"/>
      <c r="C792" s="54"/>
      <c r="D792" s="54"/>
      <c r="E792" s="54"/>
      <c r="F792" s="57"/>
      <c r="G792" s="57"/>
      <c r="H792" s="57"/>
      <c r="I792" s="57"/>
    </row>
    <row r="793" spans="1:11" hidden="1" x14ac:dyDescent="0.2">
      <c r="B793" s="54"/>
      <c r="C793" s="54"/>
      <c r="D793" s="54"/>
      <c r="E793" s="54"/>
      <c r="F793" s="57"/>
      <c r="G793" s="57"/>
      <c r="H793" s="57"/>
      <c r="I793" s="57"/>
    </row>
    <row r="794" spans="1:11" hidden="1" x14ac:dyDescent="0.2">
      <c r="B794" s="54"/>
      <c r="C794" s="54"/>
      <c r="D794" s="54"/>
      <c r="E794" s="54"/>
      <c r="F794" s="57"/>
      <c r="G794" s="57"/>
      <c r="H794" s="57"/>
      <c r="I794" s="57"/>
    </row>
    <row r="795" spans="1:11" hidden="1" x14ac:dyDescent="0.2">
      <c r="B795" s="54"/>
      <c r="C795" s="54"/>
      <c r="D795" s="54"/>
      <c r="E795" s="54"/>
      <c r="F795" s="57"/>
      <c r="G795" s="57"/>
      <c r="H795" s="57"/>
      <c r="I795" s="57"/>
    </row>
    <row r="796" spans="1:11" hidden="1" x14ac:dyDescent="0.2">
      <c r="B796" s="54"/>
      <c r="C796" s="54"/>
      <c r="D796" s="54"/>
      <c r="E796" s="54"/>
      <c r="F796" s="57"/>
      <c r="G796" s="57"/>
      <c r="H796" s="57"/>
      <c r="I796" s="57"/>
    </row>
    <row r="797" spans="1:11" hidden="1" x14ac:dyDescent="0.2">
      <c r="B797" s="54"/>
      <c r="C797" s="54"/>
      <c r="D797" s="54"/>
      <c r="E797" s="54"/>
      <c r="F797" s="57"/>
      <c r="G797" s="57"/>
      <c r="H797" s="57"/>
      <c r="I797" s="57"/>
    </row>
    <row r="798" spans="1:11" hidden="1" x14ac:dyDescent="0.2">
      <c r="B798" s="54"/>
      <c r="C798" s="54"/>
      <c r="D798" s="54"/>
      <c r="E798" s="54"/>
      <c r="F798" s="57"/>
      <c r="G798" s="57"/>
      <c r="H798" s="57"/>
      <c r="I798" s="57"/>
    </row>
    <row r="799" spans="1:11" hidden="1" x14ac:dyDescent="0.2">
      <c r="B799" s="54"/>
      <c r="C799" s="54"/>
      <c r="D799" s="54"/>
      <c r="E799" s="54"/>
      <c r="F799" s="57"/>
      <c r="G799" s="57"/>
      <c r="H799" s="57"/>
      <c r="I799" s="57"/>
    </row>
    <row r="800" spans="1:11" hidden="1" x14ac:dyDescent="0.2">
      <c r="B800" s="54"/>
      <c r="C800" s="54"/>
      <c r="D800" s="54"/>
      <c r="E800" s="54"/>
      <c r="F800" s="57"/>
      <c r="G800" s="57"/>
      <c r="H800" s="57"/>
      <c r="I800" s="57"/>
    </row>
    <row r="801" spans="2:9" hidden="1" x14ac:dyDescent="0.2">
      <c r="B801" s="54"/>
      <c r="C801" s="54"/>
      <c r="D801" s="54"/>
      <c r="E801" s="54"/>
      <c r="F801" s="57"/>
      <c r="G801" s="57"/>
      <c r="H801" s="57"/>
      <c r="I801" s="57"/>
    </row>
    <row r="802" spans="2:9" hidden="1" x14ac:dyDescent="0.2">
      <c r="B802" s="54"/>
      <c r="C802" s="54"/>
      <c r="D802" s="54"/>
      <c r="E802" s="54"/>
      <c r="F802" s="57"/>
      <c r="G802" s="57"/>
      <c r="H802" s="57"/>
      <c r="I802" s="57"/>
    </row>
    <row r="803" spans="2:9" hidden="1" x14ac:dyDescent="0.2">
      <c r="B803" s="54"/>
      <c r="C803" s="54"/>
      <c r="D803" s="54"/>
      <c r="E803" s="54"/>
      <c r="F803" s="57"/>
      <c r="G803" s="57"/>
      <c r="H803" s="57"/>
      <c r="I803" s="57"/>
    </row>
    <row r="804" spans="2:9" hidden="1" x14ac:dyDescent="0.2">
      <c r="B804" s="54"/>
      <c r="C804" s="54"/>
      <c r="D804" s="54"/>
      <c r="E804" s="54"/>
      <c r="F804" s="57"/>
      <c r="G804" s="57"/>
      <c r="H804" s="57"/>
      <c r="I804" s="57"/>
    </row>
    <row r="805" spans="2:9" hidden="1" x14ac:dyDescent="0.2">
      <c r="B805" s="54"/>
      <c r="C805" s="54"/>
      <c r="D805" s="54"/>
      <c r="E805" s="54"/>
      <c r="F805" s="57"/>
      <c r="G805" s="57"/>
      <c r="H805" s="57"/>
      <c r="I805" s="57"/>
    </row>
    <row r="806" spans="2:9" hidden="1" x14ac:dyDescent="0.2">
      <c r="B806" s="54"/>
      <c r="C806" s="54"/>
      <c r="D806" s="54"/>
      <c r="E806" s="54"/>
      <c r="F806" s="57"/>
      <c r="G806" s="57"/>
      <c r="H806" s="57"/>
      <c r="I806" s="57"/>
    </row>
    <row r="807" spans="2:9" hidden="1" x14ac:dyDescent="0.2">
      <c r="B807" s="54"/>
      <c r="C807" s="54"/>
      <c r="D807" s="54"/>
      <c r="E807" s="54"/>
      <c r="F807" s="57"/>
      <c r="G807" s="57"/>
      <c r="H807" s="57"/>
      <c r="I807" s="57"/>
    </row>
    <row r="808" spans="2:9" hidden="1" x14ac:dyDescent="0.2">
      <c r="B808" s="54"/>
      <c r="C808" s="54"/>
      <c r="D808" s="54"/>
      <c r="E808" s="54"/>
      <c r="F808" s="57"/>
      <c r="G808" s="57"/>
      <c r="H808" s="57"/>
      <c r="I808" s="57"/>
    </row>
    <row r="809" spans="2:9" hidden="1" x14ac:dyDescent="0.2">
      <c r="B809" s="54"/>
      <c r="C809" s="54"/>
      <c r="D809" s="54"/>
      <c r="E809" s="54"/>
      <c r="F809" s="57"/>
      <c r="G809" s="57"/>
      <c r="H809" s="57"/>
      <c r="I809" s="57"/>
    </row>
    <row r="810" spans="2:9" hidden="1" x14ac:dyDescent="0.2">
      <c r="B810" s="54"/>
      <c r="C810" s="54"/>
      <c r="D810" s="54"/>
      <c r="E810" s="54"/>
      <c r="F810" s="57"/>
      <c r="G810" s="57"/>
      <c r="H810" s="57"/>
      <c r="I810" s="57"/>
    </row>
    <row r="811" spans="2:9" hidden="1" x14ac:dyDescent="0.2">
      <c r="B811" s="54"/>
      <c r="C811" s="54"/>
      <c r="D811" s="54"/>
      <c r="E811" s="54"/>
      <c r="F811" s="57"/>
      <c r="G811" s="57"/>
      <c r="H811" s="57"/>
      <c r="I811" s="57"/>
    </row>
    <row r="812" spans="2:9" hidden="1" x14ac:dyDescent="0.2">
      <c r="B812" s="54"/>
      <c r="C812" s="54"/>
      <c r="D812" s="54"/>
      <c r="E812" s="54"/>
      <c r="F812" s="57"/>
      <c r="G812" s="57"/>
      <c r="H812" s="57"/>
      <c r="I812" s="57"/>
    </row>
    <row r="813" spans="2:9" hidden="1" x14ac:dyDescent="0.2">
      <c r="B813" s="54"/>
      <c r="C813" s="54"/>
      <c r="D813" s="54"/>
      <c r="E813" s="54"/>
      <c r="F813" s="57"/>
      <c r="G813" s="57"/>
      <c r="H813" s="57"/>
      <c r="I813" s="57"/>
    </row>
    <row r="814" spans="2:9" hidden="1" x14ac:dyDescent="0.2">
      <c r="B814" s="54"/>
      <c r="C814" s="54"/>
      <c r="D814" s="54"/>
      <c r="E814" s="54"/>
      <c r="F814" s="57"/>
      <c r="G814" s="57"/>
      <c r="H814" s="57"/>
      <c r="I814" s="57"/>
    </row>
    <row r="815" spans="2:9" hidden="1" x14ac:dyDescent="0.2">
      <c r="B815" s="54"/>
      <c r="C815" s="54"/>
      <c r="D815" s="54"/>
      <c r="E815" s="54"/>
      <c r="F815" s="57"/>
      <c r="G815" s="57"/>
      <c r="H815" s="57"/>
      <c r="I815" s="57"/>
    </row>
    <row r="816" spans="2:9" hidden="1" x14ac:dyDescent="0.2">
      <c r="B816" s="54"/>
      <c r="C816" s="54"/>
      <c r="D816" s="54"/>
      <c r="E816" s="54"/>
      <c r="F816" s="57"/>
      <c r="G816" s="57"/>
      <c r="H816" s="57"/>
      <c r="I816" s="57"/>
    </row>
    <row r="817" spans="2:9" hidden="1" x14ac:dyDescent="0.2">
      <c r="B817" s="54"/>
      <c r="C817" s="54"/>
      <c r="D817" s="54"/>
      <c r="E817" s="54"/>
      <c r="F817" s="57"/>
      <c r="G817" s="57"/>
      <c r="H817" s="57"/>
      <c r="I817" s="57"/>
    </row>
    <row r="818" spans="2:9" hidden="1" x14ac:dyDescent="0.2">
      <c r="B818" s="54"/>
      <c r="C818" s="54"/>
      <c r="D818" s="54"/>
      <c r="E818" s="54"/>
      <c r="F818" s="57"/>
      <c r="G818" s="57"/>
      <c r="H818" s="57"/>
      <c r="I818" s="57"/>
    </row>
    <row r="819" spans="2:9" hidden="1" x14ac:dyDescent="0.2">
      <c r="B819" s="54"/>
      <c r="C819" s="54"/>
      <c r="D819" s="54"/>
      <c r="E819" s="54"/>
      <c r="F819" s="57"/>
      <c r="G819" s="57"/>
      <c r="H819" s="57"/>
      <c r="I819" s="57"/>
    </row>
    <row r="820" spans="2:9" hidden="1" x14ac:dyDescent="0.2">
      <c r="B820" s="54"/>
      <c r="C820" s="54"/>
      <c r="D820" s="54"/>
      <c r="E820" s="54"/>
      <c r="F820" s="57"/>
      <c r="G820" s="57"/>
      <c r="H820" s="57"/>
      <c r="I820" s="57"/>
    </row>
  </sheetData>
  <sheetProtection sheet="1" objects="1" scenarios="1"/>
  <dataConsolidate/>
  <mergeCells count="2">
    <mergeCell ref="F2:H2"/>
    <mergeCell ref="B28:E30"/>
  </mergeCells>
  <dataValidations count="1">
    <dataValidation allowBlank="1" showInputMessage="1" showErrorMessage="1" sqref="J29:K32 J68:K71 J107:K110 J146:K149 J185:K188 J224:K227 J263:K266 J302:K305 J341:K344 J380:K383 J419:K422 J458:K461 J497:K500 J536:K539 J575:K578 J614:K617 J653:K656 J692:K695 J731:K734 J770:K773 J809:K812 J848:K851"/>
  </dataValidations>
  <pageMargins left="0.70866141732283472" right="0.70866141732283472" top="0.74803149606299213" bottom="0.74803149606299213" header="0.31496062992125984" footer="0.31496062992125984"/>
  <pageSetup scale="71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O819"/>
  <sheetViews>
    <sheetView showGridLines="0" showRowColHeaders="0" workbookViewId="0">
      <selection activeCell="H13" sqref="H13"/>
    </sheetView>
  </sheetViews>
  <sheetFormatPr defaultColWidth="0" defaultRowHeight="0" customHeight="1" zeroHeight="1" x14ac:dyDescent="0.2"/>
  <cols>
    <col min="1" max="1" width="1.5703125" style="41" customWidth="1"/>
    <col min="2" max="2" width="5.140625" style="41" customWidth="1"/>
    <col min="3" max="3" width="25" style="41" customWidth="1"/>
    <col min="4" max="9" width="10.7109375" style="41" customWidth="1"/>
    <col min="10" max="10" width="15.140625" style="41" customWidth="1"/>
    <col min="11" max="11" width="17.5703125" style="42" customWidth="1"/>
    <col min="12" max="12" width="1.7109375" style="41" customWidth="1"/>
    <col min="13" max="13" width="6.7109375" style="41" hidden="1" customWidth="1"/>
    <col min="14" max="14" width="9.140625" style="41" hidden="1" customWidth="1"/>
    <col min="15" max="15" width="4.140625" style="41" hidden="1" customWidth="1"/>
    <col min="16" max="23" width="9.140625" style="41" hidden="1" customWidth="1"/>
    <col min="24" max="24" width="16.5703125" style="41" hidden="1" customWidth="1"/>
    <col min="25" max="25" width="21.5703125" style="41" hidden="1" customWidth="1"/>
    <col min="26" max="26" width="12.42578125" style="41" hidden="1" customWidth="1"/>
    <col min="27" max="27" width="14.42578125" style="41" hidden="1" customWidth="1"/>
    <col min="28" max="28" width="16" style="41" hidden="1" customWidth="1"/>
    <col min="29" max="29" width="28.42578125" style="41" hidden="1" customWidth="1"/>
    <col min="30" max="30" width="3.85546875" style="41" hidden="1" customWidth="1"/>
    <col min="31" max="31" width="5.140625" style="41" hidden="1" customWidth="1"/>
    <col min="32" max="33" width="9" style="41" hidden="1" customWidth="1"/>
    <col min="34" max="34" width="7.140625" style="41" hidden="1" customWidth="1"/>
    <col min="35" max="35" width="8.140625" style="41" hidden="1" customWidth="1"/>
    <col min="36" max="36" width="7.28515625" style="41" hidden="1" customWidth="1"/>
    <col min="37" max="37" width="7.42578125" style="41" hidden="1" customWidth="1"/>
    <col min="38" max="38" width="12.28515625" style="41" hidden="1" customWidth="1"/>
    <col min="39" max="39" width="7.42578125" style="41" hidden="1" customWidth="1"/>
    <col min="40" max="41" width="6" style="41" hidden="1" customWidth="1"/>
    <col min="42" max="42" width="15.28515625" style="41" hidden="1" customWidth="1"/>
    <col min="43" max="43" width="5.7109375" style="41" hidden="1" customWidth="1"/>
    <col min="44" max="44" width="11.28515625" style="41" hidden="1" customWidth="1"/>
    <col min="45" max="45" width="5.42578125" style="41" hidden="1" customWidth="1"/>
    <col min="46" max="46" width="7.7109375" style="41" hidden="1" customWidth="1"/>
    <col min="47" max="47" width="9" style="41" hidden="1" customWidth="1"/>
    <col min="48" max="48" width="17.42578125" style="41" hidden="1" customWidth="1"/>
    <col min="49" max="49" width="5" style="41" hidden="1" customWidth="1"/>
    <col min="50" max="50" width="10" style="41" hidden="1" customWidth="1"/>
    <col min="51" max="51" width="7.28515625" style="41" hidden="1" customWidth="1"/>
    <col min="52" max="52" width="16" style="41" hidden="1" customWidth="1"/>
    <col min="53" max="53" width="5.7109375" style="41" hidden="1" customWidth="1"/>
    <col min="54" max="54" width="11.7109375" style="41" hidden="1" customWidth="1"/>
    <col min="55" max="55" width="11" style="41" hidden="1" customWidth="1"/>
    <col min="56" max="57" width="8.42578125" style="41" hidden="1" customWidth="1"/>
    <col min="58" max="58" width="6.5703125" style="41" hidden="1" customWidth="1"/>
    <col min="59" max="59" width="11" style="41" hidden="1" customWidth="1"/>
    <col min="60" max="60" width="13.140625" style="41" hidden="1" customWidth="1"/>
    <col min="61" max="67" width="12" style="41" hidden="1" customWidth="1"/>
    <col min="68" max="16384" width="9.140625" style="41" hidden="1"/>
  </cols>
  <sheetData>
    <row r="1" spans="1:23" ht="9" customHeight="1" x14ac:dyDescent="0.2"/>
    <row r="2" spans="1:23" s="43" customFormat="1" ht="30.75" customHeight="1" x14ac:dyDescent="0.2">
      <c r="B2" s="44" t="s">
        <v>2384</v>
      </c>
      <c r="C2" s="45"/>
      <c r="D2" s="45"/>
      <c r="E2" s="45"/>
      <c r="F2" s="90"/>
      <c r="G2" s="90"/>
      <c r="H2" s="90"/>
      <c r="I2" s="90"/>
      <c r="J2" s="90"/>
      <c r="K2" s="68"/>
      <c r="L2" s="47"/>
      <c r="M2" s="47"/>
    </row>
    <row r="3" spans="1:23" s="43" customFormat="1" ht="9" customHeight="1" x14ac:dyDescent="0.25">
      <c r="B3" s="48"/>
      <c r="C3" s="48"/>
      <c r="D3" s="48"/>
      <c r="E3" s="48"/>
      <c r="F3" s="48"/>
      <c r="G3" s="48"/>
      <c r="H3" s="48"/>
      <c r="I3" s="48"/>
      <c r="J3" s="48"/>
      <c r="K3" s="48"/>
      <c r="L3" s="49"/>
      <c r="M3" s="49"/>
    </row>
    <row r="4" spans="1:23" s="50" customFormat="1" ht="18.75" x14ac:dyDescent="0.3">
      <c r="B4" s="51"/>
      <c r="C4" s="92" t="s">
        <v>2392</v>
      </c>
      <c r="D4" s="92"/>
      <c r="E4" s="51"/>
      <c r="F4" s="51"/>
      <c r="G4" s="51"/>
      <c r="H4" s="51"/>
      <c r="I4" s="51"/>
      <c r="J4" s="51"/>
      <c r="K4" s="51"/>
    </row>
    <row r="5" spans="1:23" s="50" customFormat="1" ht="18.75" x14ac:dyDescent="0.3">
      <c r="B5" s="51"/>
      <c r="C5" s="62" t="s">
        <v>2395</v>
      </c>
      <c r="D5" s="66">
        <f>Administrator!$D$23</f>
        <v>0.33333299999999999</v>
      </c>
      <c r="E5" s="51"/>
      <c r="F5" s="51"/>
      <c r="G5" s="51"/>
      <c r="H5" s="51"/>
      <c r="I5" s="51"/>
      <c r="J5" s="51"/>
      <c r="K5" s="51"/>
    </row>
    <row r="6" spans="1:23" s="50" customFormat="1" ht="18.75" x14ac:dyDescent="0.3">
      <c r="B6" s="51"/>
      <c r="C6" s="62" t="s">
        <v>2396</v>
      </c>
      <c r="D6" s="66">
        <f>Administrator!$D$23</f>
        <v>0.33333299999999999</v>
      </c>
      <c r="E6" s="51"/>
      <c r="F6" s="51"/>
      <c r="G6" s="51"/>
      <c r="H6" s="51"/>
      <c r="I6" s="51"/>
      <c r="J6" s="51"/>
      <c r="K6" s="51"/>
    </row>
    <row r="7" spans="1:23" s="50" customFormat="1" ht="18.75" x14ac:dyDescent="0.3">
      <c r="B7" s="51"/>
      <c r="C7" s="62" t="s">
        <v>2397</v>
      </c>
      <c r="D7" s="66">
        <f>Administrator!$D$23</f>
        <v>0.33333299999999999</v>
      </c>
      <c r="E7" s="51"/>
      <c r="F7" s="51"/>
      <c r="G7" s="51"/>
      <c r="H7" s="51"/>
      <c r="I7" s="51"/>
      <c r="J7" s="51"/>
      <c r="K7" s="51"/>
    </row>
    <row r="8" spans="1:23" s="50" customFormat="1" ht="18.75" x14ac:dyDescent="0.3">
      <c r="A8" s="52"/>
      <c r="B8" s="51"/>
      <c r="C8" s="51"/>
      <c r="D8" s="51"/>
      <c r="E8" s="51"/>
      <c r="F8" s="51"/>
      <c r="G8" s="51"/>
      <c r="H8" s="51"/>
      <c r="I8" s="51"/>
      <c r="J8" s="51"/>
      <c r="K8" s="51"/>
    </row>
    <row r="9" spans="1:23" s="50" customFormat="1" ht="36" customHeight="1" x14ac:dyDescent="0.3">
      <c r="A9" s="52"/>
      <c r="B9" s="51"/>
      <c r="C9" s="75" t="s">
        <v>2399</v>
      </c>
      <c r="D9" s="75" t="s">
        <v>2355</v>
      </c>
      <c r="E9" s="75" t="s">
        <v>2393</v>
      </c>
      <c r="F9" s="75" t="s">
        <v>2400</v>
      </c>
      <c r="G9" s="75" t="s">
        <v>2401</v>
      </c>
      <c r="H9" s="75" t="s">
        <v>2402</v>
      </c>
      <c r="I9" s="75" t="s">
        <v>2403</v>
      </c>
      <c r="J9" s="75" t="s">
        <v>2404</v>
      </c>
      <c r="K9" s="51"/>
      <c r="P9" s="74" t="s">
        <v>2399</v>
      </c>
      <c r="Q9" s="74" t="s">
        <v>2355</v>
      </c>
      <c r="R9" s="74" t="s">
        <v>2393</v>
      </c>
      <c r="S9" s="74" t="s">
        <v>2400</v>
      </c>
      <c r="T9" s="74" t="s">
        <v>2401</v>
      </c>
      <c r="U9" s="74" t="s">
        <v>2402</v>
      </c>
      <c r="V9" s="74" t="s">
        <v>2403</v>
      </c>
      <c r="W9" s="74" t="s">
        <v>2404</v>
      </c>
    </row>
    <row r="10" spans="1:23" s="50" customFormat="1" ht="18.75" customHeight="1" x14ac:dyDescent="0.3">
      <c r="A10" s="52"/>
      <c r="B10" s="51"/>
      <c r="C10" s="51"/>
      <c r="D10" s="51"/>
      <c r="E10" s="51"/>
      <c r="F10" s="51"/>
      <c r="G10" s="51"/>
      <c r="H10" s="51"/>
      <c r="I10" s="51"/>
      <c r="J10" s="51"/>
      <c r="K10" s="51"/>
      <c r="P10" s="69" t="s">
        <v>2405</v>
      </c>
      <c r="Q10" s="70">
        <v>0.1</v>
      </c>
      <c r="R10" s="71">
        <v>12</v>
      </c>
      <c r="S10" s="72">
        <v>4.22</v>
      </c>
      <c r="T10" s="72">
        <f>Q10/MAX(Q$10:Q$24)</f>
        <v>1</v>
      </c>
      <c r="U10" s="72">
        <f t="shared" ref="U10:U11" si="0">R10/MAX(R$10:R$24)</f>
        <v>1</v>
      </c>
      <c r="V10" s="72">
        <f t="shared" ref="V10:V11" si="1">S10/MAX(S$10:S$24)</f>
        <v>1</v>
      </c>
      <c r="W10" s="73">
        <f>(T10*$D$5+U10*$D$6+V10*$D$7)*100</f>
        <v>99.999899999999997</v>
      </c>
    </row>
    <row r="11" spans="1:23" s="50" customFormat="1" ht="18.75" customHeight="1" x14ac:dyDescent="0.3">
      <c r="A11" s="52"/>
      <c r="B11" s="51"/>
      <c r="C11" s="51"/>
      <c r="D11" s="51"/>
      <c r="E11" s="51"/>
      <c r="F11" s="51"/>
      <c r="G11" s="51"/>
      <c r="H11" s="51"/>
      <c r="I11" s="51"/>
      <c r="J11" s="51"/>
      <c r="K11" s="51"/>
      <c r="P11" s="69" t="s">
        <v>2406</v>
      </c>
      <c r="Q11" s="70">
        <v>0.1</v>
      </c>
      <c r="R11" s="71">
        <v>12</v>
      </c>
      <c r="S11" s="72">
        <v>4.22</v>
      </c>
      <c r="T11" s="72">
        <f t="shared" ref="T11" si="2">Q11/MAX(Q$10:Q$24)</f>
        <v>1</v>
      </c>
      <c r="U11" s="72">
        <f t="shared" si="0"/>
        <v>1</v>
      </c>
      <c r="V11" s="72">
        <f t="shared" si="1"/>
        <v>1</v>
      </c>
      <c r="W11" s="73">
        <f t="shared" ref="W11" si="3">(T11*$D$5+U11*$D$6+V11*$D$7)*100</f>
        <v>99.999899999999997</v>
      </c>
    </row>
    <row r="12" spans="1:23" s="50" customFormat="1" ht="18.75" customHeight="1" x14ac:dyDescent="0.3">
      <c r="A12" s="52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spans="1:23" s="50" customFormat="1" ht="18.75" customHeight="1" x14ac:dyDescent="0.3">
      <c r="A13" s="52"/>
      <c r="B13" s="51"/>
      <c r="C13" s="51"/>
      <c r="D13" s="51"/>
      <c r="E13" s="51"/>
      <c r="F13" s="51"/>
      <c r="G13" s="51"/>
      <c r="H13" s="51"/>
      <c r="I13" s="51"/>
      <c r="J13" s="51"/>
      <c r="K13" s="51"/>
    </row>
    <row r="14" spans="1:23" s="50" customFormat="1" ht="18.75" customHeight="1" x14ac:dyDescent="0.3">
      <c r="A14" s="52"/>
      <c r="B14" s="51"/>
      <c r="C14" s="51"/>
      <c r="D14" s="51"/>
      <c r="E14" s="51"/>
      <c r="F14" s="51"/>
      <c r="G14" s="51"/>
      <c r="H14" s="51"/>
      <c r="I14" s="51"/>
      <c r="J14" s="51"/>
      <c r="K14" s="51"/>
    </row>
    <row r="15" spans="1:23" s="50" customFormat="1" ht="18.75" customHeight="1" x14ac:dyDescent="0.3">
      <c r="A15" s="52"/>
      <c r="B15" s="51"/>
      <c r="C15" s="51"/>
      <c r="D15" s="51"/>
      <c r="E15" s="51"/>
      <c r="F15" s="51"/>
      <c r="G15" s="51"/>
      <c r="H15" s="51"/>
      <c r="I15" s="51"/>
      <c r="J15" s="51"/>
      <c r="K15" s="51"/>
    </row>
    <row r="16" spans="1:23" s="50" customFormat="1" ht="18.75" customHeight="1" x14ac:dyDescent="0.3">
      <c r="A16" s="52"/>
      <c r="B16" s="51"/>
      <c r="C16" s="51"/>
      <c r="D16" s="51"/>
      <c r="E16" s="51"/>
      <c r="F16" s="51"/>
      <c r="G16" s="51"/>
      <c r="H16" s="51"/>
      <c r="I16" s="51"/>
      <c r="J16" s="51"/>
      <c r="K16" s="51"/>
    </row>
    <row r="17" spans="1:18" s="50" customFormat="1" ht="18.75" customHeight="1" x14ac:dyDescent="0.3">
      <c r="A17" s="5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spans="1:18" s="50" customFormat="1" ht="18.75" customHeight="1" x14ac:dyDescent="0.3">
      <c r="A18" s="52"/>
      <c r="B18" s="51"/>
      <c r="C18" s="51"/>
      <c r="D18" s="51"/>
      <c r="E18" s="51"/>
      <c r="F18" s="51"/>
      <c r="G18" s="51"/>
      <c r="H18" s="51"/>
      <c r="I18" s="51"/>
      <c r="J18" s="51"/>
      <c r="K18" s="51"/>
    </row>
    <row r="19" spans="1:18" s="50" customFormat="1" ht="18.75" customHeight="1" x14ac:dyDescent="0.3">
      <c r="A19" s="52"/>
      <c r="B19" s="51"/>
      <c r="C19" s="51"/>
      <c r="D19" s="51"/>
      <c r="E19" s="51"/>
      <c r="F19" s="51"/>
      <c r="G19" s="51"/>
      <c r="H19" s="51"/>
      <c r="I19" s="51"/>
      <c r="J19" s="51"/>
      <c r="K19" s="51"/>
    </row>
    <row r="20" spans="1:18" s="50" customFormat="1" ht="18.75" customHeight="1" x14ac:dyDescent="0.3">
      <c r="A20" s="52"/>
      <c r="B20" s="51"/>
      <c r="C20" s="51"/>
      <c r="D20" s="51"/>
      <c r="E20" s="51"/>
      <c r="F20" s="51"/>
      <c r="G20" s="51"/>
      <c r="H20" s="51"/>
      <c r="I20" s="51"/>
      <c r="J20" s="51"/>
      <c r="K20" s="51"/>
    </row>
    <row r="21" spans="1:18" s="50" customFormat="1" ht="18.75" customHeight="1" x14ac:dyDescent="0.3">
      <c r="A21" s="52"/>
      <c r="B21" s="51"/>
      <c r="C21" s="51"/>
      <c r="D21" s="51"/>
      <c r="E21" s="51"/>
      <c r="F21" s="51"/>
      <c r="G21" s="51"/>
      <c r="H21" s="51"/>
      <c r="I21" s="51"/>
      <c r="J21" s="51"/>
      <c r="K21" s="51"/>
    </row>
    <row r="22" spans="1:18" s="50" customFormat="1" ht="18.75" customHeight="1" x14ac:dyDescent="0.3">
      <c r="A22" s="52"/>
      <c r="B22" s="51"/>
      <c r="C22" s="51"/>
      <c r="D22" s="51"/>
      <c r="E22" s="51"/>
      <c r="F22" s="51"/>
      <c r="G22" s="51"/>
      <c r="H22" s="51"/>
      <c r="I22" s="51"/>
      <c r="J22" s="51"/>
      <c r="K22" s="51"/>
    </row>
    <row r="23" spans="1:18" s="50" customFormat="1" ht="18.75" customHeight="1" x14ac:dyDescent="0.3">
      <c r="A23" s="52"/>
      <c r="B23" s="51"/>
      <c r="C23" s="51"/>
      <c r="D23" s="51"/>
      <c r="E23" s="51"/>
      <c r="F23" s="51"/>
      <c r="G23" s="51"/>
      <c r="H23" s="51"/>
      <c r="I23" s="51"/>
      <c r="J23" s="51"/>
      <c r="K23" s="51"/>
    </row>
    <row r="24" spans="1:18" s="50" customFormat="1" ht="18.75" customHeight="1" x14ac:dyDescent="0.3">
      <c r="A24" s="52"/>
      <c r="B24" s="51"/>
      <c r="C24" s="51"/>
      <c r="D24" s="51"/>
      <c r="E24" s="51"/>
      <c r="F24" s="51"/>
      <c r="G24" s="51"/>
      <c r="H24" s="51"/>
      <c r="I24" s="51"/>
      <c r="J24" s="51"/>
      <c r="K24" s="51"/>
    </row>
    <row r="25" spans="1:18" s="50" customFormat="1" ht="12" customHeight="1" x14ac:dyDescent="0.3">
      <c r="A25" s="52"/>
      <c r="B25" s="51"/>
      <c r="C25" s="51"/>
      <c r="D25" s="51"/>
      <c r="E25" s="51"/>
      <c r="F25" s="51"/>
      <c r="G25" s="51"/>
      <c r="H25" s="51"/>
      <c r="I25" s="51"/>
      <c r="J25" s="51"/>
      <c r="K25" s="51"/>
    </row>
    <row r="26" spans="1:18" s="50" customFormat="1" ht="9" customHeight="1" x14ac:dyDescent="0.3">
      <c r="A26" s="52"/>
      <c r="B26" s="48"/>
      <c r="C26" s="48"/>
      <c r="D26" s="48"/>
      <c r="E26" s="48"/>
      <c r="F26" s="48"/>
      <c r="G26" s="48"/>
      <c r="H26" s="48"/>
      <c r="I26" s="48"/>
      <c r="J26" s="48"/>
      <c r="K26" s="48"/>
    </row>
    <row r="27" spans="1:18" s="43" customFormat="1" ht="12.75" customHeight="1" x14ac:dyDescent="0.2">
      <c r="A27" s="54"/>
      <c r="B27" s="91" t="s">
        <v>2394</v>
      </c>
      <c r="C27" s="91"/>
      <c r="D27" s="91"/>
      <c r="E27" s="91"/>
      <c r="F27" s="91"/>
      <c r="G27" s="91"/>
      <c r="H27" s="55"/>
      <c r="I27" s="55"/>
      <c r="J27" s="67"/>
      <c r="K27" s="55"/>
      <c r="L27" s="54"/>
      <c r="M27" s="54"/>
      <c r="R27" s="56"/>
    </row>
    <row r="28" spans="1:18" s="43" customFormat="1" ht="12.75" x14ac:dyDescent="0.2">
      <c r="A28" s="54"/>
      <c r="B28" s="91"/>
      <c r="C28" s="91"/>
      <c r="D28" s="91"/>
      <c r="E28" s="91"/>
      <c r="F28" s="91"/>
      <c r="G28" s="91"/>
      <c r="H28" s="55"/>
      <c r="I28" s="55"/>
      <c r="J28" s="67"/>
      <c r="K28" s="55"/>
      <c r="L28" s="54"/>
      <c r="M28" s="54"/>
      <c r="R28" s="56"/>
    </row>
    <row r="29" spans="1:18" s="43" customFormat="1" ht="12.75" x14ac:dyDescent="0.2">
      <c r="A29" s="54"/>
      <c r="B29" s="91"/>
      <c r="C29" s="91"/>
      <c r="D29" s="91"/>
      <c r="E29" s="91"/>
      <c r="F29" s="91"/>
      <c r="G29" s="91"/>
      <c r="H29" s="55"/>
      <c r="I29" s="55"/>
      <c r="J29" s="67"/>
      <c r="K29" s="55"/>
      <c r="L29" s="54"/>
      <c r="M29" s="54"/>
      <c r="R29" s="56"/>
    </row>
    <row r="30" spans="1:18" s="43" customFormat="1" ht="8.25" customHeight="1" x14ac:dyDescent="0.2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7"/>
      <c r="L30" s="54"/>
      <c r="M30" s="54"/>
    </row>
    <row r="31" spans="1:18" s="43" customFormat="1" ht="12.75" hidden="1" x14ac:dyDescent="0.2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7"/>
      <c r="L31" s="54"/>
      <c r="M31" s="54"/>
    </row>
    <row r="32" spans="1:18" s="43" customFormat="1" ht="12.75" hidden="1" x14ac:dyDescent="0.2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7"/>
      <c r="L32" s="54"/>
      <c r="M32" s="54"/>
    </row>
    <row r="33" spans="1:13" s="43" customFormat="1" ht="12.75" hidden="1" x14ac:dyDescent="0.2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7"/>
      <c r="L33" s="54"/>
      <c r="M33" s="54"/>
    </row>
    <row r="34" spans="1:13" s="43" customFormat="1" ht="12.75" hidden="1" x14ac:dyDescent="0.2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7"/>
      <c r="L34" s="54"/>
      <c r="M34" s="54"/>
    </row>
    <row r="35" spans="1:13" s="43" customFormat="1" ht="12.75" hidden="1" x14ac:dyDescent="0.2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7"/>
      <c r="L35" s="54"/>
      <c r="M35" s="54"/>
    </row>
    <row r="36" spans="1:13" s="43" customFormat="1" ht="12.75" hidden="1" x14ac:dyDescent="0.2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7"/>
      <c r="L36" s="54"/>
      <c r="M36" s="54"/>
    </row>
    <row r="37" spans="1:13" s="43" customFormat="1" ht="12.75" hidden="1" x14ac:dyDescent="0.2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7"/>
      <c r="L37" s="54"/>
      <c r="M37" s="54"/>
    </row>
    <row r="38" spans="1:13" s="43" customFormat="1" ht="12.75" hidden="1" x14ac:dyDescent="0.2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7"/>
      <c r="L38" s="54"/>
      <c r="M38" s="54"/>
    </row>
    <row r="39" spans="1:13" s="43" customFormat="1" ht="12.75" hidden="1" x14ac:dyDescent="0.2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7"/>
      <c r="L39" s="54"/>
      <c r="M39" s="54"/>
    </row>
    <row r="40" spans="1:13" s="43" customFormat="1" ht="12.75" hidden="1" x14ac:dyDescent="0.2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7"/>
      <c r="L40" s="54"/>
      <c r="M40" s="54"/>
    </row>
    <row r="41" spans="1:13" s="43" customFormat="1" ht="12.75" hidden="1" x14ac:dyDescent="0.2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7"/>
      <c r="L41" s="54"/>
      <c r="M41" s="54"/>
    </row>
    <row r="42" spans="1:13" s="43" customFormat="1" ht="12.75" hidden="1" x14ac:dyDescent="0.2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7"/>
      <c r="L42" s="54"/>
      <c r="M42" s="54"/>
    </row>
    <row r="43" spans="1:13" s="43" customFormat="1" ht="12.75" hidden="1" x14ac:dyDescent="0.2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7"/>
      <c r="L43" s="54"/>
      <c r="M43" s="54"/>
    </row>
    <row r="44" spans="1:13" s="43" customFormat="1" ht="12.75" hidden="1" x14ac:dyDescent="0.2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7"/>
      <c r="L44" s="54"/>
      <c r="M44" s="54"/>
    </row>
    <row r="45" spans="1:13" s="43" customFormat="1" ht="12.75" hidden="1" x14ac:dyDescent="0.2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7"/>
      <c r="L45" s="54"/>
      <c r="M45" s="54"/>
    </row>
    <row r="46" spans="1:13" s="43" customFormat="1" ht="12.75" hidden="1" x14ac:dyDescent="0.2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7"/>
      <c r="L46" s="54"/>
      <c r="M46" s="54"/>
    </row>
    <row r="47" spans="1:13" s="43" customFormat="1" ht="12.75" hidden="1" x14ac:dyDescent="0.2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7"/>
      <c r="L47" s="54"/>
      <c r="M47" s="54"/>
    </row>
    <row r="48" spans="1:13" s="43" customFormat="1" ht="12.75" hidden="1" x14ac:dyDescent="0.2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7"/>
      <c r="L48" s="54"/>
      <c r="M48" s="54"/>
    </row>
    <row r="49" spans="1:13" s="43" customFormat="1" ht="12.75" hidden="1" x14ac:dyDescent="0.2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7"/>
      <c r="L49" s="54"/>
      <c r="M49" s="54"/>
    </row>
    <row r="50" spans="1:13" s="43" customFormat="1" ht="12.75" hidden="1" x14ac:dyDescent="0.2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7"/>
      <c r="L50" s="54"/>
      <c r="M50" s="54"/>
    </row>
    <row r="51" spans="1:13" s="43" customFormat="1" ht="12.75" hidden="1" x14ac:dyDescent="0.2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7"/>
      <c r="L51" s="54"/>
      <c r="M51" s="54"/>
    </row>
    <row r="52" spans="1:13" s="43" customFormat="1" ht="12.75" hidden="1" x14ac:dyDescent="0.2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7"/>
      <c r="L52" s="54"/>
      <c r="M52" s="54"/>
    </row>
    <row r="53" spans="1:13" s="43" customFormat="1" ht="12.75" hidden="1" x14ac:dyDescent="0.2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7"/>
      <c r="L53" s="54"/>
      <c r="M53" s="54"/>
    </row>
    <row r="54" spans="1:13" s="43" customFormat="1" ht="12.75" hidden="1" x14ac:dyDescent="0.2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7"/>
      <c r="L54" s="54"/>
      <c r="M54" s="54"/>
    </row>
    <row r="55" spans="1:13" s="43" customFormat="1" ht="12.75" hidden="1" x14ac:dyDescent="0.2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7"/>
      <c r="L55" s="54"/>
      <c r="M55" s="54"/>
    </row>
    <row r="56" spans="1:13" s="43" customFormat="1" ht="12.75" hidden="1" x14ac:dyDescent="0.2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7"/>
      <c r="L56" s="54"/>
      <c r="M56" s="54"/>
    </row>
    <row r="57" spans="1:13" s="43" customFormat="1" ht="12.75" hidden="1" x14ac:dyDescent="0.2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7"/>
      <c r="L57" s="54"/>
      <c r="M57" s="54"/>
    </row>
    <row r="58" spans="1:13" s="43" customFormat="1" ht="12.75" hidden="1" x14ac:dyDescent="0.2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7"/>
      <c r="L58" s="54"/>
      <c r="M58" s="54"/>
    </row>
    <row r="59" spans="1:13" s="43" customFormat="1" ht="12.75" hidden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7"/>
      <c r="L59" s="54"/>
      <c r="M59" s="54"/>
    </row>
    <row r="60" spans="1:13" s="43" customFormat="1" ht="12.75" hidden="1" x14ac:dyDescent="0.2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7"/>
      <c r="L60" s="54"/>
      <c r="M60" s="54"/>
    </row>
    <row r="61" spans="1:13" s="43" customFormat="1" ht="12.75" hidden="1" x14ac:dyDescent="0.2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7"/>
      <c r="L61" s="54"/>
      <c r="M61" s="54"/>
    </row>
    <row r="62" spans="1:13" s="43" customFormat="1" ht="12.75" hidden="1" x14ac:dyDescent="0.2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7"/>
      <c r="L62" s="54"/>
      <c r="M62" s="54"/>
    </row>
    <row r="63" spans="1:13" s="43" customFormat="1" ht="12.75" hidden="1" x14ac:dyDescent="0.2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7"/>
      <c r="L63" s="54"/>
      <c r="M63" s="54"/>
    </row>
    <row r="64" spans="1:13" s="43" customFormat="1" ht="12.75" hidden="1" x14ac:dyDescent="0.2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7"/>
      <c r="L64" s="54"/>
      <c r="M64" s="54"/>
    </row>
    <row r="65" spans="1:13" s="43" customFormat="1" ht="12.75" hidden="1" x14ac:dyDescent="0.2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7"/>
      <c r="L65" s="54"/>
      <c r="M65" s="54"/>
    </row>
    <row r="66" spans="1:13" s="43" customFormat="1" ht="12.75" hidden="1" x14ac:dyDescent="0.2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7"/>
      <c r="L66" s="54"/>
      <c r="M66" s="54"/>
    </row>
    <row r="67" spans="1:13" s="43" customFormat="1" ht="12.75" hidden="1" x14ac:dyDescent="0.2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7"/>
      <c r="L67" s="54"/>
      <c r="M67" s="54"/>
    </row>
    <row r="68" spans="1:13" s="43" customFormat="1" ht="12.75" hidden="1" x14ac:dyDescent="0.2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7"/>
      <c r="L68" s="54"/>
      <c r="M68" s="54"/>
    </row>
    <row r="69" spans="1:13" s="43" customFormat="1" ht="12.75" hidden="1" x14ac:dyDescent="0.2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7"/>
      <c r="L69" s="54"/>
      <c r="M69" s="54"/>
    </row>
    <row r="70" spans="1:13" s="43" customFormat="1" ht="12.75" hidden="1" x14ac:dyDescent="0.2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7"/>
      <c r="L70" s="54"/>
      <c r="M70" s="54"/>
    </row>
    <row r="71" spans="1:13" s="43" customFormat="1" ht="12.75" hidden="1" x14ac:dyDescent="0.2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7"/>
      <c r="L71" s="54"/>
      <c r="M71" s="54"/>
    </row>
    <row r="72" spans="1:13" s="43" customFormat="1" ht="12.75" hidden="1" x14ac:dyDescent="0.2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7"/>
      <c r="L72" s="54"/>
      <c r="M72" s="54"/>
    </row>
    <row r="73" spans="1:13" s="43" customFormat="1" ht="12.75" hidden="1" x14ac:dyDescent="0.2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7"/>
      <c r="L73" s="54"/>
      <c r="M73" s="54"/>
    </row>
    <row r="74" spans="1:13" s="43" customFormat="1" ht="12.75" hidden="1" x14ac:dyDescent="0.2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7"/>
      <c r="L74" s="54"/>
      <c r="M74" s="54"/>
    </row>
    <row r="75" spans="1:13" s="43" customFormat="1" ht="12.75" hidden="1" x14ac:dyDescent="0.2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7"/>
      <c r="L75" s="54"/>
      <c r="M75" s="54"/>
    </row>
    <row r="76" spans="1:13" s="43" customFormat="1" ht="12.75" hidden="1" x14ac:dyDescent="0.2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7"/>
      <c r="L76" s="54"/>
      <c r="M76" s="54"/>
    </row>
    <row r="77" spans="1:13" s="43" customFormat="1" ht="12.75" hidden="1" x14ac:dyDescent="0.2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7"/>
      <c r="L77" s="54"/>
      <c r="M77" s="54"/>
    </row>
    <row r="78" spans="1:13" s="43" customFormat="1" ht="12.75" hidden="1" x14ac:dyDescent="0.2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7"/>
      <c r="L78" s="54"/>
      <c r="M78" s="54"/>
    </row>
    <row r="79" spans="1:13" s="43" customFormat="1" ht="12.75" hidden="1" x14ac:dyDescent="0.2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7"/>
      <c r="L79" s="54"/>
      <c r="M79" s="54"/>
    </row>
    <row r="80" spans="1:13" s="43" customFormat="1" ht="12.75" hidden="1" x14ac:dyDescent="0.2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7"/>
      <c r="L80" s="54"/>
      <c r="M80" s="54"/>
    </row>
    <row r="81" spans="1:13" s="43" customFormat="1" ht="12.75" hidden="1" x14ac:dyDescent="0.2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7"/>
      <c r="L81" s="54"/>
      <c r="M81" s="54"/>
    </row>
    <row r="82" spans="1:13" s="43" customFormat="1" ht="12.75" hidden="1" x14ac:dyDescent="0.2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7"/>
      <c r="L82" s="54"/>
      <c r="M82" s="54"/>
    </row>
    <row r="83" spans="1:13" s="43" customFormat="1" ht="12.75" hidden="1" x14ac:dyDescent="0.2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7"/>
      <c r="L83" s="54"/>
      <c r="M83" s="54"/>
    </row>
    <row r="84" spans="1:13" s="43" customFormat="1" ht="12.75" hidden="1" x14ac:dyDescent="0.2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7"/>
      <c r="L84" s="54"/>
      <c r="M84" s="54"/>
    </row>
    <row r="85" spans="1:13" s="43" customFormat="1" ht="12.75" hidden="1" x14ac:dyDescent="0.2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7"/>
      <c r="L85" s="54"/>
      <c r="M85" s="54"/>
    </row>
    <row r="86" spans="1:13" s="43" customFormat="1" ht="12.75" hidden="1" x14ac:dyDescent="0.2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7"/>
      <c r="L86" s="54"/>
      <c r="M86" s="54"/>
    </row>
    <row r="87" spans="1:13" s="43" customFormat="1" ht="12.75" hidden="1" x14ac:dyDescent="0.2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7"/>
      <c r="L87" s="54"/>
      <c r="M87" s="54"/>
    </row>
    <row r="88" spans="1:13" s="43" customFormat="1" ht="12.75" hidden="1" x14ac:dyDescent="0.2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7"/>
      <c r="L88" s="54"/>
      <c r="M88" s="54"/>
    </row>
    <row r="89" spans="1:13" s="43" customFormat="1" ht="12.75" hidden="1" x14ac:dyDescent="0.2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7"/>
      <c r="L89" s="54"/>
      <c r="M89" s="54"/>
    </row>
    <row r="90" spans="1:13" s="43" customFormat="1" ht="12.75" hidden="1" x14ac:dyDescent="0.2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7"/>
      <c r="L90" s="54"/>
      <c r="M90" s="54"/>
    </row>
    <row r="91" spans="1:13" s="43" customFormat="1" ht="12.75" hidden="1" x14ac:dyDescent="0.2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7"/>
      <c r="L91" s="54"/>
      <c r="M91" s="54"/>
    </row>
    <row r="92" spans="1:13" s="43" customFormat="1" ht="12.75" hidden="1" x14ac:dyDescent="0.2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7"/>
      <c r="L92" s="54"/>
      <c r="M92" s="54"/>
    </row>
    <row r="93" spans="1:13" s="43" customFormat="1" ht="12.75" hidden="1" x14ac:dyDescent="0.2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7"/>
      <c r="L93" s="54"/>
      <c r="M93" s="54"/>
    </row>
    <row r="94" spans="1:13" s="43" customFormat="1" ht="12.75" hidden="1" x14ac:dyDescent="0.2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7"/>
      <c r="L94" s="54"/>
      <c r="M94" s="54"/>
    </row>
    <row r="95" spans="1:13" s="43" customFormat="1" ht="12.75" hidden="1" x14ac:dyDescent="0.2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7"/>
      <c r="L95" s="54"/>
      <c r="M95" s="54"/>
    </row>
    <row r="96" spans="1:13" s="43" customFormat="1" ht="12.75" hidden="1" x14ac:dyDescent="0.2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7"/>
      <c r="L96" s="54"/>
      <c r="M96" s="54"/>
    </row>
    <row r="97" spans="1:13" s="43" customFormat="1" ht="12.75" hidden="1" x14ac:dyDescent="0.2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7"/>
      <c r="L97" s="54"/>
      <c r="M97" s="54"/>
    </row>
    <row r="98" spans="1:13" s="43" customFormat="1" ht="12.75" hidden="1" x14ac:dyDescent="0.2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7"/>
      <c r="L98" s="54"/>
      <c r="M98" s="54"/>
    </row>
    <row r="99" spans="1:13" s="43" customFormat="1" ht="12.75" hidden="1" x14ac:dyDescent="0.2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7"/>
      <c r="L99" s="54"/>
      <c r="M99" s="54"/>
    </row>
    <row r="100" spans="1:13" s="43" customFormat="1" ht="12.75" hidden="1" x14ac:dyDescent="0.2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7"/>
      <c r="L100" s="54"/>
      <c r="M100" s="54"/>
    </row>
    <row r="101" spans="1:13" s="43" customFormat="1" ht="12.75" hidden="1" x14ac:dyDescent="0.2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7"/>
      <c r="L101" s="54"/>
      <c r="M101" s="54"/>
    </row>
    <row r="102" spans="1:13" s="43" customFormat="1" ht="12.75" hidden="1" x14ac:dyDescent="0.2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7"/>
      <c r="L102" s="54"/>
      <c r="M102" s="54"/>
    </row>
    <row r="103" spans="1:13" s="43" customFormat="1" ht="12.75" hidden="1" x14ac:dyDescent="0.2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7"/>
      <c r="L103" s="54"/>
      <c r="M103" s="54"/>
    </row>
    <row r="104" spans="1:13" s="43" customFormat="1" ht="12.75" hidden="1" x14ac:dyDescent="0.2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7"/>
      <c r="L104" s="54"/>
      <c r="M104" s="54"/>
    </row>
    <row r="105" spans="1:13" s="43" customFormat="1" ht="12.75" hidden="1" x14ac:dyDescent="0.2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7"/>
      <c r="L105" s="54"/>
      <c r="M105" s="54"/>
    </row>
    <row r="106" spans="1:13" s="43" customFormat="1" ht="12.75" hidden="1" x14ac:dyDescent="0.2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7"/>
      <c r="L106" s="54"/>
      <c r="M106" s="54"/>
    </row>
    <row r="107" spans="1:13" s="43" customFormat="1" ht="12.75" hidden="1" x14ac:dyDescent="0.2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7"/>
      <c r="L107" s="54"/>
      <c r="M107" s="54"/>
    </row>
    <row r="108" spans="1:13" s="43" customFormat="1" ht="12.75" hidden="1" x14ac:dyDescent="0.2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7"/>
      <c r="L108" s="54"/>
      <c r="M108" s="54"/>
    </row>
    <row r="109" spans="1:13" s="43" customFormat="1" ht="12.75" hidden="1" x14ac:dyDescent="0.2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7"/>
      <c r="L109" s="54"/>
      <c r="M109" s="54"/>
    </row>
    <row r="110" spans="1:13" s="43" customFormat="1" ht="12.75" hidden="1" x14ac:dyDescent="0.2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7"/>
      <c r="L110" s="54"/>
      <c r="M110" s="54"/>
    </row>
    <row r="111" spans="1:13" s="43" customFormat="1" ht="12.75" hidden="1" x14ac:dyDescent="0.2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7"/>
      <c r="L111" s="54"/>
      <c r="M111" s="54"/>
    </row>
    <row r="112" spans="1:13" s="43" customFormat="1" ht="12.75" hidden="1" x14ac:dyDescent="0.2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7"/>
      <c r="L112" s="54"/>
      <c r="M112" s="54"/>
    </row>
    <row r="113" spans="1:13" s="43" customFormat="1" ht="12.75" hidden="1" x14ac:dyDescent="0.2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7"/>
      <c r="L113" s="54"/>
      <c r="M113" s="54"/>
    </row>
    <row r="114" spans="1:13" s="43" customFormat="1" ht="12.75" hidden="1" x14ac:dyDescent="0.2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7"/>
      <c r="L114" s="54"/>
      <c r="M114" s="54"/>
    </row>
    <row r="115" spans="1:13" s="43" customFormat="1" ht="12.75" hidden="1" x14ac:dyDescent="0.2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7"/>
      <c r="L115" s="54"/>
      <c r="M115" s="54"/>
    </row>
    <row r="116" spans="1:13" s="43" customFormat="1" ht="12.75" hidden="1" x14ac:dyDescent="0.2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7"/>
      <c r="L116" s="54"/>
      <c r="M116" s="54"/>
    </row>
    <row r="117" spans="1:13" s="43" customFormat="1" ht="12.75" hidden="1" x14ac:dyDescent="0.2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7"/>
      <c r="L117" s="54"/>
      <c r="M117" s="54"/>
    </row>
    <row r="118" spans="1:13" s="43" customFormat="1" ht="12.75" hidden="1" x14ac:dyDescent="0.2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7"/>
      <c r="L118" s="54"/>
      <c r="M118" s="54"/>
    </row>
    <row r="119" spans="1:13" s="43" customFormat="1" ht="12.75" hidden="1" x14ac:dyDescent="0.2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7"/>
      <c r="L119" s="54"/>
      <c r="M119" s="54"/>
    </row>
    <row r="120" spans="1:13" s="43" customFormat="1" ht="12.75" hidden="1" x14ac:dyDescent="0.2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7"/>
      <c r="L120" s="54"/>
      <c r="M120" s="54"/>
    </row>
    <row r="121" spans="1:13" s="43" customFormat="1" ht="12.75" hidden="1" x14ac:dyDescent="0.2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7"/>
      <c r="L121" s="54"/>
      <c r="M121" s="54"/>
    </row>
    <row r="122" spans="1:13" s="43" customFormat="1" ht="12.75" hidden="1" x14ac:dyDescent="0.2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7"/>
      <c r="L122" s="54"/>
      <c r="M122" s="54"/>
    </row>
    <row r="123" spans="1:13" s="43" customFormat="1" ht="12.75" hidden="1" x14ac:dyDescent="0.2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7"/>
      <c r="L123" s="54"/>
      <c r="M123" s="54"/>
    </row>
    <row r="124" spans="1:13" s="43" customFormat="1" ht="12.75" hidden="1" x14ac:dyDescent="0.2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7"/>
      <c r="L124" s="54"/>
      <c r="M124" s="54"/>
    </row>
    <row r="125" spans="1:13" s="43" customFormat="1" ht="12.75" hidden="1" x14ac:dyDescent="0.2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7"/>
      <c r="L125" s="54"/>
      <c r="M125" s="54"/>
    </row>
    <row r="126" spans="1:13" s="43" customFormat="1" ht="12.75" hidden="1" x14ac:dyDescent="0.2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7"/>
      <c r="L126" s="54"/>
      <c r="M126" s="54"/>
    </row>
    <row r="127" spans="1:13" s="43" customFormat="1" ht="12.75" hidden="1" x14ac:dyDescent="0.2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7"/>
      <c r="L127" s="54"/>
      <c r="M127" s="54"/>
    </row>
    <row r="128" spans="1:13" s="43" customFormat="1" ht="12.75" hidden="1" x14ac:dyDescent="0.2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7"/>
      <c r="L128" s="54"/>
      <c r="M128" s="54"/>
    </row>
    <row r="129" spans="1:13" s="43" customFormat="1" ht="12.75" hidden="1" x14ac:dyDescent="0.2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7"/>
      <c r="L129" s="54"/>
      <c r="M129" s="54"/>
    </row>
    <row r="130" spans="1:13" s="43" customFormat="1" ht="12.75" hidden="1" x14ac:dyDescent="0.2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7"/>
      <c r="L130" s="54"/>
      <c r="M130" s="54"/>
    </row>
    <row r="131" spans="1:13" s="43" customFormat="1" ht="12.75" hidden="1" x14ac:dyDescent="0.2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7"/>
      <c r="L131" s="54"/>
      <c r="M131" s="54"/>
    </row>
    <row r="132" spans="1:13" s="43" customFormat="1" ht="12.75" hidden="1" x14ac:dyDescent="0.2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7"/>
      <c r="L132" s="54"/>
      <c r="M132" s="54"/>
    </row>
    <row r="133" spans="1:13" s="43" customFormat="1" ht="12.75" hidden="1" x14ac:dyDescent="0.2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7"/>
      <c r="L133" s="54"/>
      <c r="M133" s="54"/>
    </row>
    <row r="134" spans="1:13" s="43" customFormat="1" ht="12.75" hidden="1" x14ac:dyDescent="0.2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7"/>
      <c r="L134" s="54"/>
      <c r="M134" s="54"/>
    </row>
    <row r="135" spans="1:13" s="43" customFormat="1" ht="12.75" hidden="1" x14ac:dyDescent="0.2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7"/>
      <c r="L135" s="54"/>
      <c r="M135" s="54"/>
    </row>
    <row r="136" spans="1:13" s="43" customFormat="1" ht="12.75" hidden="1" x14ac:dyDescent="0.2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7"/>
      <c r="L136" s="54"/>
      <c r="M136" s="54"/>
    </row>
    <row r="137" spans="1:13" s="43" customFormat="1" ht="12.75" hidden="1" x14ac:dyDescent="0.2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7"/>
      <c r="L137" s="54"/>
      <c r="M137" s="54"/>
    </row>
    <row r="138" spans="1:13" s="43" customFormat="1" ht="12.75" hidden="1" x14ac:dyDescent="0.2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7"/>
      <c r="L138" s="54"/>
      <c r="M138" s="54"/>
    </row>
    <row r="139" spans="1:13" s="43" customFormat="1" ht="12.75" hidden="1" x14ac:dyDescent="0.2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7"/>
      <c r="L139" s="54"/>
      <c r="M139" s="54"/>
    </row>
    <row r="140" spans="1:13" s="43" customFormat="1" ht="12.75" hidden="1" x14ac:dyDescent="0.2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7"/>
      <c r="L140" s="54"/>
      <c r="M140" s="54"/>
    </row>
    <row r="141" spans="1:13" s="43" customFormat="1" ht="12.75" hidden="1" x14ac:dyDescent="0.2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7"/>
      <c r="L141" s="54"/>
      <c r="M141" s="54"/>
    </row>
    <row r="142" spans="1:13" s="43" customFormat="1" ht="12.75" hidden="1" x14ac:dyDescent="0.2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7"/>
      <c r="L142" s="54"/>
      <c r="M142" s="54"/>
    </row>
    <row r="143" spans="1:13" s="43" customFormat="1" ht="12.75" hidden="1" x14ac:dyDescent="0.2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7"/>
      <c r="L143" s="54"/>
      <c r="M143" s="54"/>
    </row>
    <row r="144" spans="1:13" s="43" customFormat="1" ht="12.75" hidden="1" x14ac:dyDescent="0.2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7"/>
      <c r="L144" s="54"/>
      <c r="M144" s="54"/>
    </row>
    <row r="145" spans="1:13" s="43" customFormat="1" ht="12.75" hidden="1" x14ac:dyDescent="0.2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7"/>
      <c r="L145" s="54"/>
      <c r="M145" s="54"/>
    </row>
    <row r="146" spans="1:13" s="43" customFormat="1" ht="12.75" hidden="1" x14ac:dyDescent="0.2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7"/>
      <c r="L146" s="54"/>
      <c r="M146" s="54"/>
    </row>
    <row r="147" spans="1:13" s="43" customFormat="1" ht="12.75" hidden="1" x14ac:dyDescent="0.2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7"/>
      <c r="L147" s="54"/>
      <c r="M147" s="54"/>
    </row>
    <row r="148" spans="1:13" s="43" customFormat="1" ht="12.75" hidden="1" x14ac:dyDescent="0.2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7"/>
      <c r="L148" s="54"/>
      <c r="M148" s="54"/>
    </row>
    <row r="149" spans="1:13" s="43" customFormat="1" ht="12.75" hidden="1" x14ac:dyDescent="0.2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7"/>
      <c r="L149" s="54"/>
      <c r="M149" s="54"/>
    </row>
    <row r="150" spans="1:13" s="43" customFormat="1" ht="12.75" hidden="1" x14ac:dyDescent="0.2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7"/>
      <c r="L150" s="54"/>
      <c r="M150" s="54"/>
    </row>
    <row r="151" spans="1:13" s="43" customFormat="1" ht="12.75" hidden="1" x14ac:dyDescent="0.2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7"/>
      <c r="L151" s="54"/>
      <c r="M151" s="54"/>
    </row>
    <row r="152" spans="1:13" s="43" customFormat="1" ht="12.75" hidden="1" x14ac:dyDescent="0.2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7"/>
      <c r="L152" s="54"/>
      <c r="M152" s="54"/>
    </row>
    <row r="153" spans="1:13" s="43" customFormat="1" ht="12.75" hidden="1" x14ac:dyDescent="0.2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7"/>
      <c r="L153" s="54"/>
      <c r="M153" s="54"/>
    </row>
    <row r="154" spans="1:13" s="43" customFormat="1" ht="12.75" hidden="1" x14ac:dyDescent="0.2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7"/>
      <c r="L154" s="54"/>
      <c r="M154" s="54"/>
    </row>
    <row r="155" spans="1:13" s="43" customFormat="1" ht="12.75" hidden="1" x14ac:dyDescent="0.2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7"/>
      <c r="L155" s="54"/>
      <c r="M155" s="54"/>
    </row>
    <row r="156" spans="1:13" s="43" customFormat="1" ht="12.75" hidden="1" x14ac:dyDescent="0.2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7"/>
      <c r="L156" s="54"/>
      <c r="M156" s="54"/>
    </row>
    <row r="157" spans="1:13" s="43" customFormat="1" ht="12.75" hidden="1" x14ac:dyDescent="0.2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7"/>
      <c r="L157" s="54"/>
      <c r="M157" s="54"/>
    </row>
    <row r="158" spans="1:13" s="43" customFormat="1" ht="12.75" hidden="1" x14ac:dyDescent="0.2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7"/>
      <c r="L158" s="54"/>
      <c r="M158" s="54"/>
    </row>
    <row r="159" spans="1:13" s="43" customFormat="1" ht="12.75" hidden="1" x14ac:dyDescent="0.2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7"/>
      <c r="L159" s="54"/>
      <c r="M159" s="54"/>
    </row>
    <row r="160" spans="1:13" s="43" customFormat="1" ht="12.75" hidden="1" x14ac:dyDescent="0.2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7"/>
      <c r="L160" s="54"/>
      <c r="M160" s="54"/>
    </row>
    <row r="161" spans="1:13" s="43" customFormat="1" ht="12.75" hidden="1" x14ac:dyDescent="0.2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7"/>
      <c r="L161" s="54"/>
      <c r="M161" s="54"/>
    </row>
    <row r="162" spans="1:13" s="43" customFormat="1" ht="12.75" hidden="1" x14ac:dyDescent="0.2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7"/>
      <c r="L162" s="54"/>
      <c r="M162" s="54"/>
    </row>
    <row r="163" spans="1:13" s="43" customFormat="1" ht="12.75" hidden="1" x14ac:dyDescent="0.2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7"/>
      <c r="L163" s="54"/>
      <c r="M163" s="54"/>
    </row>
    <row r="164" spans="1:13" s="43" customFormat="1" ht="12.75" hidden="1" x14ac:dyDescent="0.2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7"/>
      <c r="L164" s="54"/>
      <c r="M164" s="54"/>
    </row>
    <row r="165" spans="1:13" s="43" customFormat="1" ht="12.75" hidden="1" x14ac:dyDescent="0.2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7"/>
      <c r="L165" s="54"/>
      <c r="M165" s="54"/>
    </row>
    <row r="166" spans="1:13" s="43" customFormat="1" ht="12.75" hidden="1" x14ac:dyDescent="0.2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7"/>
      <c r="L166" s="54"/>
      <c r="M166" s="54"/>
    </row>
    <row r="167" spans="1:13" s="43" customFormat="1" ht="12.75" hidden="1" x14ac:dyDescent="0.2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7"/>
      <c r="L167" s="54"/>
      <c r="M167" s="54"/>
    </row>
    <row r="168" spans="1:13" s="43" customFormat="1" ht="12.75" hidden="1" x14ac:dyDescent="0.2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7"/>
      <c r="L168" s="54"/>
      <c r="M168" s="54"/>
    </row>
    <row r="169" spans="1:13" s="43" customFormat="1" ht="12.75" hidden="1" x14ac:dyDescent="0.2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7"/>
      <c r="L169" s="54"/>
      <c r="M169" s="54"/>
    </row>
    <row r="170" spans="1:13" s="43" customFormat="1" ht="12.75" hidden="1" x14ac:dyDescent="0.2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7"/>
      <c r="L170" s="54"/>
      <c r="M170" s="54"/>
    </row>
    <row r="171" spans="1:13" s="43" customFormat="1" ht="12.75" hidden="1" x14ac:dyDescent="0.2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7"/>
      <c r="L171" s="54"/>
      <c r="M171" s="54"/>
    </row>
    <row r="172" spans="1:13" s="43" customFormat="1" ht="12.75" hidden="1" x14ac:dyDescent="0.2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7"/>
      <c r="L172" s="54"/>
      <c r="M172" s="54"/>
    </row>
    <row r="173" spans="1:13" s="43" customFormat="1" ht="12.75" hidden="1" x14ac:dyDescent="0.2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7"/>
      <c r="L173" s="54"/>
      <c r="M173" s="54"/>
    </row>
    <row r="174" spans="1:13" s="43" customFormat="1" ht="12.75" hidden="1" x14ac:dyDescent="0.2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7"/>
      <c r="L174" s="54"/>
      <c r="M174" s="54"/>
    </row>
    <row r="175" spans="1:13" s="43" customFormat="1" ht="12.75" hidden="1" x14ac:dyDescent="0.2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7"/>
      <c r="L175" s="54"/>
      <c r="M175" s="54"/>
    </row>
    <row r="176" spans="1:13" s="43" customFormat="1" ht="12.75" hidden="1" x14ac:dyDescent="0.2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7"/>
      <c r="L176" s="54"/>
      <c r="M176" s="54"/>
    </row>
    <row r="177" spans="1:13" s="43" customFormat="1" ht="12.75" hidden="1" x14ac:dyDescent="0.2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7"/>
      <c r="L177" s="54"/>
      <c r="M177" s="54"/>
    </row>
    <row r="178" spans="1:13" s="43" customFormat="1" ht="12.75" hidden="1" x14ac:dyDescent="0.2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7"/>
      <c r="L178" s="54"/>
      <c r="M178" s="54"/>
    </row>
    <row r="179" spans="1:13" s="43" customFormat="1" ht="12.75" hidden="1" x14ac:dyDescent="0.2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7"/>
      <c r="L179" s="54"/>
      <c r="M179" s="54"/>
    </row>
    <row r="180" spans="1:13" s="43" customFormat="1" ht="12.75" hidden="1" x14ac:dyDescent="0.2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7"/>
      <c r="L180" s="54"/>
      <c r="M180" s="54"/>
    </row>
    <row r="181" spans="1:13" s="43" customFormat="1" ht="12.75" hidden="1" x14ac:dyDescent="0.2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7"/>
      <c r="L181" s="54"/>
      <c r="M181" s="54"/>
    </row>
    <row r="182" spans="1:13" s="43" customFormat="1" ht="12.75" hidden="1" x14ac:dyDescent="0.2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7"/>
      <c r="L182" s="54"/>
      <c r="M182" s="54"/>
    </row>
    <row r="183" spans="1:13" s="43" customFormat="1" ht="12.75" hidden="1" x14ac:dyDescent="0.2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7"/>
      <c r="L183" s="54"/>
      <c r="M183" s="54"/>
    </row>
    <row r="184" spans="1:13" s="43" customFormat="1" ht="12.75" hidden="1" x14ac:dyDescent="0.2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7"/>
      <c r="L184" s="54"/>
      <c r="M184" s="54"/>
    </row>
    <row r="185" spans="1:13" s="43" customFormat="1" ht="12.75" hidden="1" x14ac:dyDescent="0.2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7"/>
      <c r="L185" s="54"/>
      <c r="M185" s="54"/>
    </row>
    <row r="186" spans="1:13" s="43" customFormat="1" ht="12.75" hidden="1" x14ac:dyDescent="0.2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7"/>
      <c r="L186" s="54"/>
      <c r="M186" s="54"/>
    </row>
    <row r="187" spans="1:13" s="43" customFormat="1" ht="12.75" hidden="1" x14ac:dyDescent="0.2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7"/>
      <c r="L187" s="54"/>
      <c r="M187" s="54"/>
    </row>
    <row r="188" spans="1:13" s="43" customFormat="1" ht="12.75" hidden="1" x14ac:dyDescent="0.2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7"/>
      <c r="L188" s="54"/>
      <c r="M188" s="54"/>
    </row>
    <row r="189" spans="1:13" s="43" customFormat="1" ht="12.75" hidden="1" x14ac:dyDescent="0.2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7"/>
      <c r="L189" s="54"/>
      <c r="M189" s="54"/>
    </row>
    <row r="190" spans="1:13" s="43" customFormat="1" ht="12.75" hidden="1" x14ac:dyDescent="0.2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7"/>
      <c r="L190" s="54"/>
      <c r="M190" s="54"/>
    </row>
    <row r="191" spans="1:13" s="43" customFormat="1" ht="12.75" hidden="1" x14ac:dyDescent="0.2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7"/>
      <c r="L191" s="54"/>
      <c r="M191" s="54"/>
    </row>
    <row r="192" spans="1:13" s="43" customFormat="1" ht="12.75" hidden="1" x14ac:dyDescent="0.2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7"/>
      <c r="L192" s="54"/>
      <c r="M192" s="54"/>
    </row>
    <row r="193" spans="1:13" s="43" customFormat="1" ht="12.75" hidden="1" x14ac:dyDescent="0.2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7"/>
      <c r="L193" s="54"/>
      <c r="M193" s="54"/>
    </row>
    <row r="194" spans="1:13" s="43" customFormat="1" ht="12.75" hidden="1" x14ac:dyDescent="0.2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7"/>
      <c r="L194" s="54"/>
      <c r="M194" s="54"/>
    </row>
    <row r="195" spans="1:13" s="43" customFormat="1" ht="12.75" hidden="1" x14ac:dyDescent="0.2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7"/>
      <c r="L195" s="54"/>
      <c r="M195" s="54"/>
    </row>
    <row r="196" spans="1:13" s="43" customFormat="1" ht="12.75" hidden="1" x14ac:dyDescent="0.2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7"/>
      <c r="L196" s="54"/>
      <c r="M196" s="54"/>
    </row>
    <row r="197" spans="1:13" s="43" customFormat="1" ht="12.75" hidden="1" x14ac:dyDescent="0.2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7"/>
      <c r="L197" s="54"/>
      <c r="M197" s="54"/>
    </row>
    <row r="198" spans="1:13" s="43" customFormat="1" ht="12.75" hidden="1" x14ac:dyDescent="0.2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7"/>
      <c r="L198" s="54"/>
      <c r="M198" s="54"/>
    </row>
    <row r="199" spans="1:13" s="43" customFormat="1" ht="12.75" hidden="1" x14ac:dyDescent="0.2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7"/>
      <c r="L199" s="54"/>
      <c r="M199" s="54"/>
    </row>
    <row r="200" spans="1:13" s="43" customFormat="1" ht="12.75" hidden="1" x14ac:dyDescent="0.2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7"/>
      <c r="L200" s="54"/>
      <c r="M200" s="54"/>
    </row>
    <row r="201" spans="1:13" s="43" customFormat="1" ht="12.75" hidden="1" x14ac:dyDescent="0.2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7"/>
      <c r="L201" s="54"/>
      <c r="M201" s="54"/>
    </row>
    <row r="202" spans="1:13" s="43" customFormat="1" ht="12.75" hidden="1" x14ac:dyDescent="0.2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7"/>
      <c r="L202" s="54"/>
      <c r="M202" s="54"/>
    </row>
    <row r="203" spans="1:13" s="43" customFormat="1" ht="12.75" hidden="1" x14ac:dyDescent="0.2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7"/>
      <c r="L203" s="54"/>
      <c r="M203" s="54"/>
    </row>
    <row r="204" spans="1:13" s="43" customFormat="1" ht="12.75" hidden="1" x14ac:dyDescent="0.2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7"/>
      <c r="L204" s="54"/>
      <c r="M204" s="54"/>
    </row>
    <row r="205" spans="1:13" s="43" customFormat="1" ht="12.75" hidden="1" x14ac:dyDescent="0.2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7"/>
      <c r="L205" s="54"/>
      <c r="M205" s="54"/>
    </row>
    <row r="206" spans="1:13" s="43" customFormat="1" ht="12.75" hidden="1" x14ac:dyDescent="0.2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7"/>
      <c r="L206" s="54"/>
      <c r="M206" s="54"/>
    </row>
    <row r="207" spans="1:13" s="43" customFormat="1" ht="12.75" hidden="1" x14ac:dyDescent="0.2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7"/>
      <c r="L207" s="54"/>
      <c r="M207" s="54"/>
    </row>
    <row r="208" spans="1:13" s="43" customFormat="1" ht="12.75" hidden="1" x14ac:dyDescent="0.2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7"/>
      <c r="L208" s="54"/>
      <c r="M208" s="54"/>
    </row>
    <row r="209" spans="1:13" s="43" customFormat="1" ht="12.75" hidden="1" x14ac:dyDescent="0.2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7"/>
      <c r="L209" s="54"/>
      <c r="M209" s="54"/>
    </row>
    <row r="210" spans="1:13" s="43" customFormat="1" ht="12.75" hidden="1" x14ac:dyDescent="0.2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7"/>
      <c r="L210" s="54"/>
      <c r="M210" s="54"/>
    </row>
    <row r="211" spans="1:13" s="43" customFormat="1" ht="12.75" hidden="1" x14ac:dyDescent="0.2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7"/>
      <c r="L211" s="54"/>
      <c r="M211" s="54"/>
    </row>
    <row r="212" spans="1:13" s="43" customFormat="1" ht="12.75" hidden="1" x14ac:dyDescent="0.2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7"/>
      <c r="L212" s="54"/>
      <c r="M212" s="54"/>
    </row>
    <row r="213" spans="1:13" s="43" customFormat="1" ht="12.75" hidden="1" x14ac:dyDescent="0.2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7"/>
      <c r="L213" s="54"/>
      <c r="M213" s="54"/>
    </row>
    <row r="214" spans="1:13" s="43" customFormat="1" ht="12.75" hidden="1" x14ac:dyDescent="0.2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7"/>
      <c r="L214" s="54"/>
      <c r="M214" s="54"/>
    </row>
    <row r="215" spans="1:13" s="43" customFormat="1" ht="12.75" hidden="1" x14ac:dyDescent="0.2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7"/>
      <c r="L215" s="54"/>
      <c r="M215" s="54"/>
    </row>
    <row r="216" spans="1:13" s="43" customFormat="1" ht="12.75" hidden="1" x14ac:dyDescent="0.2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7"/>
      <c r="L216" s="54"/>
      <c r="M216" s="54"/>
    </row>
    <row r="217" spans="1:13" s="43" customFormat="1" ht="12.75" hidden="1" x14ac:dyDescent="0.2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7"/>
      <c r="L217" s="54"/>
      <c r="M217" s="54"/>
    </row>
    <row r="218" spans="1:13" s="43" customFormat="1" ht="12.75" hidden="1" x14ac:dyDescent="0.2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7"/>
      <c r="L218" s="54"/>
      <c r="M218" s="54"/>
    </row>
    <row r="219" spans="1:13" s="43" customFormat="1" ht="12.75" hidden="1" x14ac:dyDescent="0.2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7"/>
      <c r="L219" s="54"/>
      <c r="M219" s="54"/>
    </row>
    <row r="220" spans="1:13" s="43" customFormat="1" ht="12.75" hidden="1" x14ac:dyDescent="0.2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7"/>
      <c r="L220" s="54"/>
      <c r="M220" s="54"/>
    </row>
    <row r="221" spans="1:13" s="43" customFormat="1" ht="12.75" hidden="1" x14ac:dyDescent="0.2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7"/>
      <c r="L221" s="54"/>
      <c r="M221" s="54"/>
    </row>
    <row r="222" spans="1:13" s="43" customFormat="1" ht="12.75" hidden="1" x14ac:dyDescent="0.2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7"/>
      <c r="L222" s="54"/>
      <c r="M222" s="54"/>
    </row>
    <row r="223" spans="1:13" s="43" customFormat="1" ht="12.75" hidden="1" x14ac:dyDescent="0.2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7"/>
      <c r="L223" s="54"/>
      <c r="M223" s="54"/>
    </row>
    <row r="224" spans="1:13" s="43" customFormat="1" ht="12.75" hidden="1" x14ac:dyDescent="0.2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7"/>
      <c r="L224" s="54"/>
      <c r="M224" s="54"/>
    </row>
    <row r="225" spans="1:13" s="43" customFormat="1" ht="12.75" hidden="1" x14ac:dyDescent="0.2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7"/>
      <c r="L225" s="54"/>
      <c r="M225" s="54"/>
    </row>
    <row r="226" spans="1:13" s="43" customFormat="1" ht="12.75" hidden="1" x14ac:dyDescent="0.2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7"/>
      <c r="L226" s="54"/>
      <c r="M226" s="54"/>
    </row>
    <row r="227" spans="1:13" s="43" customFormat="1" ht="12.75" hidden="1" x14ac:dyDescent="0.2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7"/>
      <c r="L227" s="54"/>
      <c r="M227" s="54"/>
    </row>
    <row r="228" spans="1:13" s="43" customFormat="1" ht="12.75" hidden="1" x14ac:dyDescent="0.2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7"/>
      <c r="L228" s="54"/>
      <c r="M228" s="54"/>
    </row>
    <row r="229" spans="1:13" s="43" customFormat="1" ht="12.75" hidden="1" x14ac:dyDescent="0.2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7"/>
      <c r="L229" s="54"/>
      <c r="M229" s="54"/>
    </row>
    <row r="230" spans="1:13" s="43" customFormat="1" ht="12.75" hidden="1" x14ac:dyDescent="0.2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7"/>
      <c r="L230" s="54"/>
      <c r="M230" s="54"/>
    </row>
    <row r="231" spans="1:13" s="43" customFormat="1" ht="12.75" hidden="1" x14ac:dyDescent="0.2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7"/>
      <c r="L231" s="54"/>
      <c r="M231" s="54"/>
    </row>
    <row r="232" spans="1:13" s="43" customFormat="1" ht="12.75" hidden="1" x14ac:dyDescent="0.2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7"/>
      <c r="L232" s="54"/>
      <c r="M232" s="54"/>
    </row>
    <row r="233" spans="1:13" s="43" customFormat="1" ht="12.75" hidden="1" x14ac:dyDescent="0.2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7"/>
      <c r="L233" s="54"/>
      <c r="M233" s="54"/>
    </row>
    <row r="234" spans="1:13" s="43" customFormat="1" ht="12.75" hidden="1" x14ac:dyDescent="0.2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7"/>
      <c r="L234" s="54"/>
      <c r="M234" s="54"/>
    </row>
    <row r="235" spans="1:13" s="43" customFormat="1" ht="12.75" hidden="1" x14ac:dyDescent="0.2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7"/>
      <c r="L235" s="54"/>
      <c r="M235" s="54"/>
    </row>
    <row r="236" spans="1:13" s="43" customFormat="1" ht="12.75" hidden="1" x14ac:dyDescent="0.2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7"/>
      <c r="L236" s="54"/>
      <c r="M236" s="54"/>
    </row>
    <row r="237" spans="1:13" s="43" customFormat="1" ht="12.75" hidden="1" x14ac:dyDescent="0.2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7"/>
      <c r="L237" s="54"/>
      <c r="M237" s="54"/>
    </row>
    <row r="238" spans="1:13" s="43" customFormat="1" ht="12.75" hidden="1" x14ac:dyDescent="0.2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7"/>
      <c r="L238" s="54"/>
      <c r="M238" s="54"/>
    </row>
    <row r="239" spans="1:13" s="43" customFormat="1" ht="12.75" hidden="1" x14ac:dyDescent="0.2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7"/>
      <c r="L239" s="54"/>
      <c r="M239" s="54"/>
    </row>
    <row r="240" spans="1:13" s="43" customFormat="1" ht="12.75" hidden="1" x14ac:dyDescent="0.2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7"/>
      <c r="L240" s="54"/>
      <c r="M240" s="54"/>
    </row>
    <row r="241" spans="1:13" s="43" customFormat="1" ht="12.75" hidden="1" x14ac:dyDescent="0.2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7"/>
      <c r="L241" s="54"/>
      <c r="M241" s="54"/>
    </row>
    <row r="242" spans="1:13" s="43" customFormat="1" ht="12.75" hidden="1" x14ac:dyDescent="0.2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7"/>
      <c r="L242" s="54"/>
      <c r="M242" s="54"/>
    </row>
    <row r="243" spans="1:13" s="43" customFormat="1" ht="12.75" hidden="1" x14ac:dyDescent="0.2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7"/>
      <c r="L243" s="54"/>
      <c r="M243" s="54"/>
    </row>
    <row r="244" spans="1:13" s="43" customFormat="1" ht="12.75" hidden="1" x14ac:dyDescent="0.2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7"/>
      <c r="L244" s="54"/>
      <c r="M244" s="54"/>
    </row>
    <row r="245" spans="1:13" s="43" customFormat="1" ht="12.75" hidden="1" x14ac:dyDescent="0.2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7"/>
      <c r="L245" s="54"/>
      <c r="M245" s="54"/>
    </row>
    <row r="246" spans="1:13" s="43" customFormat="1" ht="12.75" hidden="1" x14ac:dyDescent="0.2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7"/>
      <c r="L246" s="54"/>
      <c r="M246" s="54"/>
    </row>
    <row r="247" spans="1:13" s="43" customFormat="1" ht="12.75" hidden="1" x14ac:dyDescent="0.2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7"/>
      <c r="L247" s="54"/>
      <c r="M247" s="54"/>
    </row>
    <row r="248" spans="1:13" s="43" customFormat="1" ht="12.75" hidden="1" x14ac:dyDescent="0.2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7"/>
      <c r="L248" s="54"/>
      <c r="M248" s="54"/>
    </row>
    <row r="249" spans="1:13" s="43" customFormat="1" ht="12.75" hidden="1" x14ac:dyDescent="0.2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7"/>
      <c r="L249" s="54"/>
      <c r="M249" s="54"/>
    </row>
    <row r="250" spans="1:13" s="43" customFormat="1" ht="12.75" hidden="1" x14ac:dyDescent="0.2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7"/>
      <c r="L250" s="54"/>
      <c r="M250" s="54"/>
    </row>
    <row r="251" spans="1:13" s="43" customFormat="1" ht="12.75" hidden="1" x14ac:dyDescent="0.2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7"/>
      <c r="L251" s="54"/>
      <c r="M251" s="54"/>
    </row>
    <row r="252" spans="1:13" s="43" customFormat="1" ht="12.75" hidden="1" x14ac:dyDescent="0.2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7"/>
      <c r="L252" s="54"/>
      <c r="M252" s="54"/>
    </row>
    <row r="253" spans="1:13" s="43" customFormat="1" ht="12.75" hidden="1" x14ac:dyDescent="0.2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7"/>
      <c r="L253" s="54"/>
      <c r="M253" s="54"/>
    </row>
    <row r="254" spans="1:13" s="43" customFormat="1" ht="12.75" hidden="1" x14ac:dyDescent="0.2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7"/>
      <c r="L254" s="54"/>
      <c r="M254" s="54"/>
    </row>
    <row r="255" spans="1:13" s="43" customFormat="1" ht="12.75" hidden="1" x14ac:dyDescent="0.2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7"/>
      <c r="L255" s="54"/>
      <c r="M255" s="54"/>
    </row>
    <row r="256" spans="1:13" s="43" customFormat="1" ht="12.75" hidden="1" x14ac:dyDescent="0.2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7"/>
      <c r="L256" s="54"/>
      <c r="M256" s="54"/>
    </row>
    <row r="257" spans="1:13" s="43" customFormat="1" ht="12.75" hidden="1" x14ac:dyDescent="0.2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7"/>
      <c r="L257" s="54"/>
      <c r="M257" s="54"/>
    </row>
    <row r="258" spans="1:13" s="43" customFormat="1" ht="12.75" hidden="1" x14ac:dyDescent="0.2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7"/>
      <c r="L258" s="54"/>
      <c r="M258" s="54"/>
    </row>
    <row r="259" spans="1:13" s="43" customFormat="1" ht="12.75" hidden="1" x14ac:dyDescent="0.2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7"/>
      <c r="L259" s="54"/>
      <c r="M259" s="54"/>
    </row>
    <row r="260" spans="1:13" s="43" customFormat="1" ht="12.75" hidden="1" x14ac:dyDescent="0.2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7"/>
      <c r="L260" s="54"/>
      <c r="M260" s="54"/>
    </row>
    <row r="261" spans="1:13" s="43" customFormat="1" ht="12.75" hidden="1" x14ac:dyDescent="0.2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7"/>
      <c r="L261" s="54"/>
      <c r="M261" s="54"/>
    </row>
    <row r="262" spans="1:13" s="43" customFormat="1" ht="12.75" hidden="1" x14ac:dyDescent="0.2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7"/>
      <c r="L262" s="54"/>
      <c r="M262" s="54"/>
    </row>
    <row r="263" spans="1:13" s="43" customFormat="1" ht="12.75" hidden="1" x14ac:dyDescent="0.2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7"/>
      <c r="L263" s="54"/>
      <c r="M263" s="54"/>
    </row>
    <row r="264" spans="1:13" s="43" customFormat="1" ht="12.75" hidden="1" x14ac:dyDescent="0.2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7"/>
      <c r="L264" s="54"/>
      <c r="M264" s="54"/>
    </row>
    <row r="265" spans="1:13" s="43" customFormat="1" ht="12.75" hidden="1" x14ac:dyDescent="0.2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7"/>
      <c r="L265" s="54"/>
      <c r="M265" s="54"/>
    </row>
    <row r="266" spans="1:13" s="43" customFormat="1" ht="12.75" hidden="1" x14ac:dyDescent="0.2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7"/>
      <c r="L266" s="54"/>
      <c r="M266" s="54"/>
    </row>
    <row r="267" spans="1:13" s="43" customFormat="1" ht="12.75" hidden="1" x14ac:dyDescent="0.2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7"/>
      <c r="L267" s="54"/>
      <c r="M267" s="54"/>
    </row>
    <row r="268" spans="1:13" s="43" customFormat="1" ht="12.75" hidden="1" x14ac:dyDescent="0.2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7"/>
      <c r="L268" s="54"/>
      <c r="M268" s="54"/>
    </row>
    <row r="269" spans="1:13" s="43" customFormat="1" ht="12.75" hidden="1" x14ac:dyDescent="0.2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7"/>
      <c r="L269" s="54"/>
      <c r="M269" s="54"/>
    </row>
    <row r="270" spans="1:13" s="43" customFormat="1" ht="12.75" hidden="1" x14ac:dyDescent="0.2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7"/>
      <c r="L270" s="54"/>
      <c r="M270" s="54"/>
    </row>
    <row r="271" spans="1:13" s="43" customFormat="1" ht="12.75" hidden="1" x14ac:dyDescent="0.2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7"/>
      <c r="L271" s="54"/>
      <c r="M271" s="54"/>
    </row>
    <row r="272" spans="1:13" s="43" customFormat="1" ht="12.75" hidden="1" x14ac:dyDescent="0.2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7"/>
      <c r="L272" s="54"/>
      <c r="M272" s="54"/>
    </row>
    <row r="273" spans="1:13" s="43" customFormat="1" ht="12.75" hidden="1" x14ac:dyDescent="0.2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7"/>
      <c r="L273" s="54"/>
      <c r="M273" s="54"/>
    </row>
    <row r="274" spans="1:13" s="43" customFormat="1" ht="12.75" hidden="1" x14ac:dyDescent="0.2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7"/>
      <c r="L274" s="54"/>
      <c r="M274" s="54"/>
    </row>
    <row r="275" spans="1:13" s="43" customFormat="1" ht="12.75" hidden="1" x14ac:dyDescent="0.2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7"/>
      <c r="L275" s="54"/>
      <c r="M275" s="54"/>
    </row>
    <row r="276" spans="1:13" s="43" customFormat="1" ht="12.75" hidden="1" x14ac:dyDescent="0.2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7"/>
      <c r="L276" s="54"/>
      <c r="M276" s="54"/>
    </row>
    <row r="277" spans="1:13" s="43" customFormat="1" ht="12.75" hidden="1" x14ac:dyDescent="0.2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7"/>
      <c r="L277" s="54"/>
      <c r="M277" s="54"/>
    </row>
    <row r="278" spans="1:13" s="43" customFormat="1" ht="12.75" hidden="1" x14ac:dyDescent="0.2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7"/>
      <c r="L278" s="54"/>
      <c r="M278" s="54"/>
    </row>
    <row r="279" spans="1:13" s="43" customFormat="1" ht="12.75" hidden="1" x14ac:dyDescent="0.2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7"/>
      <c r="L279" s="54"/>
      <c r="M279" s="54"/>
    </row>
    <row r="280" spans="1:13" s="43" customFormat="1" ht="12.75" hidden="1" x14ac:dyDescent="0.2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7"/>
      <c r="L280" s="54"/>
      <c r="M280" s="54"/>
    </row>
    <row r="281" spans="1:13" s="43" customFormat="1" ht="12.75" hidden="1" x14ac:dyDescent="0.2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7"/>
      <c r="L281" s="54"/>
      <c r="M281" s="54"/>
    </row>
    <row r="282" spans="1:13" s="43" customFormat="1" ht="12.75" hidden="1" x14ac:dyDescent="0.2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7"/>
      <c r="L282" s="54"/>
      <c r="M282" s="54"/>
    </row>
    <row r="283" spans="1:13" s="43" customFormat="1" ht="12.75" hidden="1" x14ac:dyDescent="0.2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7"/>
      <c r="L283" s="54"/>
      <c r="M283" s="54"/>
    </row>
    <row r="284" spans="1:13" s="43" customFormat="1" ht="12.75" hidden="1" x14ac:dyDescent="0.2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7"/>
      <c r="L284" s="54"/>
      <c r="M284" s="54"/>
    </row>
    <row r="285" spans="1:13" s="43" customFormat="1" ht="12.75" hidden="1" x14ac:dyDescent="0.2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7"/>
      <c r="L285" s="54"/>
      <c r="M285" s="54"/>
    </row>
    <row r="286" spans="1:13" s="43" customFormat="1" ht="12.75" hidden="1" x14ac:dyDescent="0.2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7"/>
      <c r="L286" s="54"/>
      <c r="M286" s="54"/>
    </row>
    <row r="287" spans="1:13" s="43" customFormat="1" ht="12.75" hidden="1" x14ac:dyDescent="0.2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7"/>
      <c r="L287" s="54"/>
      <c r="M287" s="54"/>
    </row>
    <row r="288" spans="1:13" s="43" customFormat="1" ht="12.75" hidden="1" x14ac:dyDescent="0.2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7"/>
      <c r="L288" s="54"/>
      <c r="M288" s="54"/>
    </row>
    <row r="289" spans="1:13" s="43" customFormat="1" ht="12.75" hidden="1" x14ac:dyDescent="0.2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7"/>
      <c r="L289" s="54"/>
      <c r="M289" s="54"/>
    </row>
    <row r="290" spans="1:13" s="43" customFormat="1" ht="12.75" hidden="1" x14ac:dyDescent="0.2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7"/>
      <c r="L290" s="54"/>
      <c r="M290" s="54"/>
    </row>
    <row r="291" spans="1:13" s="43" customFormat="1" ht="12.75" hidden="1" x14ac:dyDescent="0.2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7"/>
      <c r="L291" s="54"/>
      <c r="M291" s="54"/>
    </row>
    <row r="292" spans="1:13" s="43" customFormat="1" ht="12.75" hidden="1" x14ac:dyDescent="0.2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7"/>
      <c r="L292" s="54"/>
      <c r="M292" s="54"/>
    </row>
    <row r="293" spans="1:13" s="43" customFormat="1" ht="12.75" hidden="1" x14ac:dyDescent="0.2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7"/>
      <c r="L293" s="54"/>
      <c r="M293" s="54"/>
    </row>
    <row r="294" spans="1:13" s="43" customFormat="1" ht="12.75" hidden="1" x14ac:dyDescent="0.2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7"/>
      <c r="L294" s="54"/>
      <c r="M294" s="54"/>
    </row>
    <row r="295" spans="1:13" s="43" customFormat="1" ht="12.75" hidden="1" x14ac:dyDescent="0.2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7"/>
      <c r="L295" s="54"/>
      <c r="M295" s="54"/>
    </row>
    <row r="296" spans="1:13" s="43" customFormat="1" ht="12.75" hidden="1" x14ac:dyDescent="0.2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7"/>
      <c r="L296" s="54"/>
      <c r="M296" s="54"/>
    </row>
    <row r="297" spans="1:13" s="43" customFormat="1" ht="12.75" hidden="1" x14ac:dyDescent="0.2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7"/>
      <c r="L297" s="54"/>
      <c r="M297" s="54"/>
    </row>
    <row r="298" spans="1:13" s="43" customFormat="1" ht="12.75" hidden="1" x14ac:dyDescent="0.2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7"/>
      <c r="L298" s="54"/>
      <c r="M298" s="54"/>
    </row>
    <row r="299" spans="1:13" s="43" customFormat="1" ht="12.75" hidden="1" x14ac:dyDescent="0.2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7"/>
      <c r="L299" s="54"/>
      <c r="M299" s="54"/>
    </row>
    <row r="300" spans="1:13" s="43" customFormat="1" ht="12.75" hidden="1" x14ac:dyDescent="0.2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7"/>
      <c r="L300" s="54"/>
      <c r="M300" s="54"/>
    </row>
    <row r="301" spans="1:13" s="43" customFormat="1" ht="12.75" hidden="1" x14ac:dyDescent="0.2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7"/>
      <c r="L301" s="54"/>
      <c r="M301" s="54"/>
    </row>
    <row r="302" spans="1:13" s="43" customFormat="1" ht="12.75" hidden="1" x14ac:dyDescent="0.2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7"/>
      <c r="L302" s="54"/>
      <c r="M302" s="54"/>
    </row>
    <row r="303" spans="1:13" s="43" customFormat="1" ht="12.75" hidden="1" x14ac:dyDescent="0.2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7"/>
      <c r="L303" s="54"/>
      <c r="M303" s="54"/>
    </row>
    <row r="304" spans="1:13" s="43" customFormat="1" ht="12.75" hidden="1" x14ac:dyDescent="0.2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7"/>
      <c r="L304" s="54"/>
      <c r="M304" s="54"/>
    </row>
    <row r="305" spans="1:13" s="43" customFormat="1" ht="12.75" hidden="1" x14ac:dyDescent="0.2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7"/>
      <c r="L305" s="54"/>
      <c r="M305" s="54"/>
    </row>
    <row r="306" spans="1:13" s="43" customFormat="1" ht="12.75" hidden="1" x14ac:dyDescent="0.2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7"/>
      <c r="L306" s="54"/>
      <c r="M306" s="54"/>
    </row>
    <row r="307" spans="1:13" s="43" customFormat="1" ht="12.75" hidden="1" x14ac:dyDescent="0.2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7"/>
      <c r="L307" s="54"/>
      <c r="M307" s="54"/>
    </row>
    <row r="308" spans="1:13" s="43" customFormat="1" ht="12.75" hidden="1" x14ac:dyDescent="0.2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7"/>
      <c r="L308" s="54"/>
      <c r="M308" s="54"/>
    </row>
    <row r="309" spans="1:13" s="43" customFormat="1" ht="12.75" hidden="1" x14ac:dyDescent="0.2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7"/>
      <c r="L309" s="54"/>
      <c r="M309" s="54"/>
    </row>
    <row r="310" spans="1:13" s="43" customFormat="1" ht="12.75" hidden="1" x14ac:dyDescent="0.2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7"/>
      <c r="L310" s="54"/>
      <c r="M310" s="54"/>
    </row>
    <row r="311" spans="1:13" s="43" customFormat="1" ht="12.75" hidden="1" x14ac:dyDescent="0.2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7"/>
      <c r="L311" s="54"/>
      <c r="M311" s="54"/>
    </row>
    <row r="312" spans="1:13" s="43" customFormat="1" ht="12.75" hidden="1" x14ac:dyDescent="0.2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7"/>
      <c r="L312" s="54"/>
      <c r="M312" s="54"/>
    </row>
    <row r="313" spans="1:13" s="43" customFormat="1" ht="12.75" hidden="1" x14ac:dyDescent="0.2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7"/>
      <c r="L313" s="54"/>
      <c r="M313" s="54"/>
    </row>
    <row r="314" spans="1:13" s="43" customFormat="1" ht="12.75" hidden="1" x14ac:dyDescent="0.2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7"/>
      <c r="L314" s="54"/>
      <c r="M314" s="54"/>
    </row>
    <row r="315" spans="1:13" s="43" customFormat="1" ht="12.75" hidden="1" x14ac:dyDescent="0.2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7"/>
      <c r="L315" s="54"/>
      <c r="M315" s="54"/>
    </row>
    <row r="316" spans="1:13" s="43" customFormat="1" ht="12.75" hidden="1" x14ac:dyDescent="0.2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7"/>
      <c r="L316" s="54"/>
      <c r="M316" s="54"/>
    </row>
    <row r="317" spans="1:13" s="43" customFormat="1" ht="12.75" hidden="1" x14ac:dyDescent="0.2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7"/>
      <c r="L317" s="54"/>
      <c r="M317" s="54"/>
    </row>
    <row r="318" spans="1:13" s="43" customFormat="1" ht="12.75" hidden="1" x14ac:dyDescent="0.2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7"/>
      <c r="L318" s="54"/>
      <c r="M318" s="54"/>
    </row>
    <row r="319" spans="1:13" s="43" customFormat="1" ht="12.75" hidden="1" x14ac:dyDescent="0.2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7"/>
      <c r="L319" s="54"/>
      <c r="M319" s="54"/>
    </row>
    <row r="320" spans="1:13" s="43" customFormat="1" ht="12.75" hidden="1" x14ac:dyDescent="0.2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7"/>
      <c r="L320" s="54"/>
      <c r="M320" s="54"/>
    </row>
    <row r="321" spans="1:13" s="43" customFormat="1" ht="12.75" hidden="1" x14ac:dyDescent="0.2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7"/>
      <c r="L321" s="54"/>
      <c r="M321" s="54"/>
    </row>
    <row r="322" spans="1:13" s="43" customFormat="1" ht="12.75" hidden="1" x14ac:dyDescent="0.2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7"/>
      <c r="L322" s="54"/>
      <c r="M322" s="54"/>
    </row>
    <row r="323" spans="1:13" s="43" customFormat="1" ht="12.75" hidden="1" x14ac:dyDescent="0.2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7"/>
      <c r="L323" s="54"/>
      <c r="M323" s="54"/>
    </row>
    <row r="324" spans="1:13" s="43" customFormat="1" ht="12.75" hidden="1" x14ac:dyDescent="0.2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7"/>
      <c r="L324" s="54"/>
      <c r="M324" s="54"/>
    </row>
    <row r="325" spans="1:13" s="43" customFormat="1" ht="12.75" hidden="1" x14ac:dyDescent="0.2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7"/>
      <c r="L325" s="54"/>
      <c r="M325" s="54"/>
    </row>
    <row r="326" spans="1:13" s="43" customFormat="1" ht="12.75" hidden="1" x14ac:dyDescent="0.2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7"/>
      <c r="L326" s="54"/>
      <c r="M326" s="54"/>
    </row>
    <row r="327" spans="1:13" s="43" customFormat="1" ht="12.75" hidden="1" x14ac:dyDescent="0.2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7"/>
      <c r="L327" s="54"/>
      <c r="M327" s="54"/>
    </row>
    <row r="328" spans="1:13" s="43" customFormat="1" ht="12.75" hidden="1" x14ac:dyDescent="0.2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7"/>
      <c r="L328" s="54"/>
      <c r="M328" s="54"/>
    </row>
    <row r="329" spans="1:13" s="43" customFormat="1" ht="12.75" hidden="1" x14ac:dyDescent="0.2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7"/>
      <c r="L329" s="54"/>
      <c r="M329" s="54"/>
    </row>
    <row r="330" spans="1:13" s="43" customFormat="1" ht="12.75" hidden="1" x14ac:dyDescent="0.2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7"/>
      <c r="L330" s="54"/>
      <c r="M330" s="54"/>
    </row>
    <row r="331" spans="1:13" s="43" customFormat="1" ht="12.75" hidden="1" x14ac:dyDescent="0.2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7"/>
      <c r="L331" s="54"/>
      <c r="M331" s="54"/>
    </row>
    <row r="332" spans="1:13" s="43" customFormat="1" ht="12.75" hidden="1" x14ac:dyDescent="0.2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7"/>
      <c r="L332" s="54"/>
      <c r="M332" s="54"/>
    </row>
    <row r="333" spans="1:13" s="43" customFormat="1" ht="12.75" hidden="1" x14ac:dyDescent="0.2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7"/>
      <c r="L333" s="54"/>
      <c r="M333" s="54"/>
    </row>
    <row r="334" spans="1:13" s="43" customFormat="1" ht="12.75" hidden="1" x14ac:dyDescent="0.2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7"/>
      <c r="L334" s="54"/>
      <c r="M334" s="54"/>
    </row>
    <row r="335" spans="1:13" s="43" customFormat="1" ht="12.75" hidden="1" x14ac:dyDescent="0.2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7"/>
      <c r="L335" s="54"/>
      <c r="M335" s="54"/>
    </row>
    <row r="336" spans="1:13" s="43" customFormat="1" ht="12.75" hidden="1" x14ac:dyDescent="0.2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7"/>
      <c r="L336" s="54"/>
      <c r="M336" s="54"/>
    </row>
    <row r="337" spans="1:13" s="43" customFormat="1" ht="12.75" hidden="1" x14ac:dyDescent="0.2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7"/>
      <c r="L337" s="54"/>
      <c r="M337" s="54"/>
    </row>
    <row r="338" spans="1:13" s="43" customFormat="1" ht="12.75" hidden="1" x14ac:dyDescent="0.2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7"/>
      <c r="L338" s="54"/>
      <c r="M338" s="54"/>
    </row>
    <row r="339" spans="1:13" s="43" customFormat="1" ht="12.75" hidden="1" x14ac:dyDescent="0.2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7"/>
      <c r="L339" s="54"/>
      <c r="M339" s="54"/>
    </row>
    <row r="340" spans="1:13" s="43" customFormat="1" ht="12.75" hidden="1" x14ac:dyDescent="0.2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7"/>
      <c r="L340" s="54"/>
      <c r="M340" s="54"/>
    </row>
    <row r="341" spans="1:13" s="43" customFormat="1" ht="12.75" hidden="1" x14ac:dyDescent="0.2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7"/>
      <c r="L341" s="54"/>
      <c r="M341" s="54"/>
    </row>
    <row r="342" spans="1:13" s="43" customFormat="1" ht="12.75" hidden="1" x14ac:dyDescent="0.2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7"/>
      <c r="L342" s="54"/>
      <c r="M342" s="54"/>
    </row>
    <row r="343" spans="1:13" s="43" customFormat="1" ht="12.75" hidden="1" x14ac:dyDescent="0.2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7"/>
      <c r="L343" s="54"/>
      <c r="M343" s="54"/>
    </row>
    <row r="344" spans="1:13" s="43" customFormat="1" ht="12.75" hidden="1" x14ac:dyDescent="0.2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7"/>
      <c r="L344" s="54"/>
      <c r="M344" s="54"/>
    </row>
    <row r="345" spans="1:13" s="43" customFormat="1" ht="12.75" hidden="1" x14ac:dyDescent="0.2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7"/>
      <c r="L345" s="54"/>
      <c r="M345" s="54"/>
    </row>
    <row r="346" spans="1:13" s="43" customFormat="1" ht="12.75" hidden="1" x14ac:dyDescent="0.2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7"/>
      <c r="L346" s="54"/>
      <c r="M346" s="54"/>
    </row>
    <row r="347" spans="1:13" s="43" customFormat="1" ht="12.75" hidden="1" x14ac:dyDescent="0.2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7"/>
      <c r="L347" s="54"/>
      <c r="M347" s="54"/>
    </row>
    <row r="348" spans="1:13" s="43" customFormat="1" ht="12.75" hidden="1" x14ac:dyDescent="0.2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7"/>
      <c r="L348" s="54"/>
      <c r="M348" s="54"/>
    </row>
    <row r="349" spans="1:13" s="43" customFormat="1" ht="12.75" hidden="1" x14ac:dyDescent="0.2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7"/>
      <c r="L349" s="54"/>
      <c r="M349" s="54"/>
    </row>
    <row r="350" spans="1:13" s="43" customFormat="1" ht="12.75" hidden="1" x14ac:dyDescent="0.2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7"/>
      <c r="L350" s="54"/>
      <c r="M350" s="54"/>
    </row>
    <row r="351" spans="1:13" s="43" customFormat="1" ht="12.75" hidden="1" x14ac:dyDescent="0.2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7"/>
      <c r="L351" s="54"/>
      <c r="M351" s="54"/>
    </row>
    <row r="352" spans="1:13" s="43" customFormat="1" ht="12.75" hidden="1" x14ac:dyDescent="0.2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7"/>
      <c r="L352" s="54"/>
      <c r="M352" s="54"/>
    </row>
    <row r="353" spans="1:13" s="43" customFormat="1" ht="12.75" hidden="1" x14ac:dyDescent="0.2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7"/>
      <c r="L353" s="54"/>
      <c r="M353" s="54"/>
    </row>
    <row r="354" spans="1:13" s="43" customFormat="1" ht="12.75" hidden="1" x14ac:dyDescent="0.2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7"/>
      <c r="L354" s="54"/>
      <c r="M354" s="54"/>
    </row>
    <row r="355" spans="1:13" s="43" customFormat="1" ht="12.75" hidden="1" x14ac:dyDescent="0.2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7"/>
      <c r="L355" s="54"/>
      <c r="M355" s="54"/>
    </row>
    <row r="356" spans="1:13" s="43" customFormat="1" ht="12.75" hidden="1" x14ac:dyDescent="0.2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7"/>
      <c r="L356" s="54"/>
      <c r="M356" s="54"/>
    </row>
    <row r="357" spans="1:13" s="43" customFormat="1" ht="12.75" hidden="1" x14ac:dyDescent="0.2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7"/>
      <c r="L357" s="54"/>
      <c r="M357" s="54"/>
    </row>
    <row r="358" spans="1:13" s="43" customFormat="1" ht="12.75" hidden="1" x14ac:dyDescent="0.2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7"/>
      <c r="L358" s="54"/>
      <c r="M358" s="54"/>
    </row>
    <row r="359" spans="1:13" s="43" customFormat="1" ht="12.75" hidden="1" x14ac:dyDescent="0.2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7"/>
      <c r="L359" s="54"/>
      <c r="M359" s="54"/>
    </row>
    <row r="360" spans="1:13" s="43" customFormat="1" ht="12.75" hidden="1" x14ac:dyDescent="0.2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7"/>
      <c r="L360" s="54"/>
      <c r="M360" s="54"/>
    </row>
    <row r="361" spans="1:13" s="43" customFormat="1" ht="12.75" hidden="1" x14ac:dyDescent="0.2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7"/>
      <c r="L361" s="54"/>
      <c r="M361" s="54"/>
    </row>
    <row r="362" spans="1:13" s="43" customFormat="1" ht="12.75" hidden="1" x14ac:dyDescent="0.2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7"/>
      <c r="L362" s="54"/>
      <c r="M362" s="54"/>
    </row>
    <row r="363" spans="1:13" s="43" customFormat="1" ht="12.75" hidden="1" x14ac:dyDescent="0.2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7"/>
      <c r="L363" s="54"/>
      <c r="M363" s="54"/>
    </row>
    <row r="364" spans="1:13" s="43" customFormat="1" ht="12.75" hidden="1" x14ac:dyDescent="0.2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7"/>
      <c r="L364" s="54"/>
      <c r="M364" s="54"/>
    </row>
    <row r="365" spans="1:13" s="43" customFormat="1" ht="12.75" hidden="1" x14ac:dyDescent="0.2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7"/>
      <c r="L365" s="54"/>
      <c r="M365" s="54"/>
    </row>
    <row r="366" spans="1:13" s="43" customFormat="1" ht="12.75" hidden="1" x14ac:dyDescent="0.2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7"/>
      <c r="L366" s="54"/>
      <c r="M366" s="54"/>
    </row>
    <row r="367" spans="1:13" s="43" customFormat="1" ht="12.75" hidden="1" x14ac:dyDescent="0.2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7"/>
      <c r="L367" s="54"/>
      <c r="M367" s="54"/>
    </row>
    <row r="368" spans="1:13" s="43" customFormat="1" ht="12.75" hidden="1" x14ac:dyDescent="0.2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7"/>
      <c r="L368" s="54"/>
      <c r="M368" s="54"/>
    </row>
    <row r="369" spans="1:13" s="43" customFormat="1" ht="12.75" hidden="1" x14ac:dyDescent="0.2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7"/>
      <c r="L369" s="54"/>
      <c r="M369" s="54"/>
    </row>
    <row r="370" spans="1:13" s="43" customFormat="1" ht="12.75" hidden="1" x14ac:dyDescent="0.2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7"/>
      <c r="L370" s="54"/>
      <c r="M370" s="54"/>
    </row>
    <row r="371" spans="1:13" s="43" customFormat="1" ht="12.75" hidden="1" x14ac:dyDescent="0.2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7"/>
      <c r="L371" s="54"/>
      <c r="M371" s="54"/>
    </row>
    <row r="372" spans="1:13" s="43" customFormat="1" ht="12.75" hidden="1" x14ac:dyDescent="0.2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7"/>
      <c r="L372" s="54"/>
      <c r="M372" s="54"/>
    </row>
    <row r="373" spans="1:13" s="43" customFormat="1" ht="12.75" hidden="1" x14ac:dyDescent="0.2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7"/>
      <c r="L373" s="54"/>
      <c r="M373" s="54"/>
    </row>
    <row r="374" spans="1:13" s="43" customFormat="1" ht="12.75" hidden="1" x14ac:dyDescent="0.2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7"/>
      <c r="L374" s="54"/>
      <c r="M374" s="54"/>
    </row>
    <row r="375" spans="1:13" s="43" customFormat="1" ht="12.75" hidden="1" x14ac:dyDescent="0.2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7"/>
      <c r="L375" s="54"/>
      <c r="M375" s="54"/>
    </row>
    <row r="376" spans="1:13" s="43" customFormat="1" ht="12.75" hidden="1" x14ac:dyDescent="0.2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7"/>
      <c r="L376" s="54"/>
      <c r="M376" s="54"/>
    </row>
    <row r="377" spans="1:13" s="43" customFormat="1" ht="12.75" hidden="1" x14ac:dyDescent="0.2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7"/>
      <c r="L377" s="54"/>
      <c r="M377" s="54"/>
    </row>
    <row r="378" spans="1:13" s="43" customFormat="1" ht="12.75" hidden="1" x14ac:dyDescent="0.2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7"/>
      <c r="L378" s="54"/>
      <c r="M378" s="54"/>
    </row>
    <row r="379" spans="1:13" s="43" customFormat="1" ht="12.75" hidden="1" x14ac:dyDescent="0.2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7"/>
      <c r="L379" s="54"/>
      <c r="M379" s="54"/>
    </row>
    <row r="380" spans="1:13" s="43" customFormat="1" ht="12.75" hidden="1" x14ac:dyDescent="0.2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7"/>
      <c r="L380" s="54"/>
      <c r="M380" s="54"/>
    </row>
    <row r="381" spans="1:13" s="43" customFormat="1" ht="12.75" hidden="1" x14ac:dyDescent="0.2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7"/>
      <c r="L381" s="54"/>
      <c r="M381" s="54"/>
    </row>
    <row r="382" spans="1:13" s="43" customFormat="1" ht="12.75" hidden="1" x14ac:dyDescent="0.2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7"/>
      <c r="L382" s="54"/>
      <c r="M382" s="54"/>
    </row>
    <row r="383" spans="1:13" s="43" customFormat="1" ht="12.75" hidden="1" x14ac:dyDescent="0.2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7"/>
      <c r="L383" s="54"/>
      <c r="M383" s="54"/>
    </row>
    <row r="384" spans="1:13" s="43" customFormat="1" ht="12.75" hidden="1" x14ac:dyDescent="0.2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7"/>
      <c r="L384" s="54"/>
      <c r="M384" s="54"/>
    </row>
    <row r="385" spans="1:13" s="43" customFormat="1" ht="12.75" hidden="1" x14ac:dyDescent="0.2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7"/>
      <c r="L385" s="54"/>
      <c r="M385" s="54"/>
    </row>
    <row r="386" spans="1:13" s="43" customFormat="1" ht="12.75" hidden="1" x14ac:dyDescent="0.2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7"/>
      <c r="L386" s="54"/>
      <c r="M386" s="54"/>
    </row>
    <row r="387" spans="1:13" s="43" customFormat="1" ht="12.75" hidden="1" x14ac:dyDescent="0.2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7"/>
      <c r="L387" s="54"/>
      <c r="M387" s="54"/>
    </row>
    <row r="388" spans="1:13" s="43" customFormat="1" ht="12.75" hidden="1" x14ac:dyDescent="0.2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7"/>
      <c r="L388" s="54"/>
      <c r="M388" s="54"/>
    </row>
    <row r="389" spans="1:13" s="43" customFormat="1" ht="12.75" hidden="1" x14ac:dyDescent="0.2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7"/>
      <c r="L389" s="54"/>
      <c r="M389" s="54"/>
    </row>
    <row r="390" spans="1:13" s="43" customFormat="1" ht="12.75" hidden="1" x14ac:dyDescent="0.2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7"/>
      <c r="L390" s="54"/>
      <c r="M390" s="54"/>
    </row>
    <row r="391" spans="1:13" s="43" customFormat="1" ht="12.75" hidden="1" x14ac:dyDescent="0.2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7"/>
      <c r="L391" s="54"/>
      <c r="M391" s="54"/>
    </row>
    <row r="392" spans="1:13" s="43" customFormat="1" ht="12.75" hidden="1" x14ac:dyDescent="0.2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7"/>
      <c r="L392" s="54"/>
      <c r="M392" s="54"/>
    </row>
    <row r="393" spans="1:13" s="43" customFormat="1" ht="12.75" hidden="1" x14ac:dyDescent="0.2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7"/>
      <c r="L393" s="54"/>
      <c r="M393" s="54"/>
    </row>
    <row r="394" spans="1:13" s="43" customFormat="1" ht="12.75" hidden="1" x14ac:dyDescent="0.2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7"/>
      <c r="L394" s="54"/>
      <c r="M394" s="54"/>
    </row>
    <row r="395" spans="1:13" s="43" customFormat="1" ht="12.75" hidden="1" x14ac:dyDescent="0.2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7"/>
      <c r="L395" s="54"/>
      <c r="M395" s="54"/>
    </row>
    <row r="396" spans="1:13" s="43" customFormat="1" ht="12.75" hidden="1" x14ac:dyDescent="0.2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7"/>
      <c r="L396" s="54"/>
      <c r="M396" s="54"/>
    </row>
    <row r="397" spans="1:13" s="43" customFormat="1" ht="12.75" hidden="1" x14ac:dyDescent="0.2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7"/>
      <c r="L397" s="54"/>
      <c r="M397" s="54"/>
    </row>
    <row r="398" spans="1:13" s="43" customFormat="1" ht="12.75" hidden="1" x14ac:dyDescent="0.2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7"/>
      <c r="L398" s="54"/>
      <c r="M398" s="54"/>
    </row>
    <row r="399" spans="1:13" s="43" customFormat="1" ht="12.75" hidden="1" x14ac:dyDescent="0.2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7"/>
      <c r="L399" s="54"/>
      <c r="M399" s="54"/>
    </row>
    <row r="400" spans="1:13" s="43" customFormat="1" ht="12.75" hidden="1" x14ac:dyDescent="0.2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7"/>
      <c r="L400" s="54"/>
      <c r="M400" s="54"/>
    </row>
    <row r="401" spans="1:13" s="43" customFormat="1" ht="12.75" hidden="1" x14ac:dyDescent="0.2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7"/>
      <c r="L401" s="54"/>
      <c r="M401" s="54"/>
    </row>
    <row r="402" spans="1:13" s="43" customFormat="1" ht="12.75" hidden="1" x14ac:dyDescent="0.2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7"/>
      <c r="L402" s="54"/>
      <c r="M402" s="54"/>
    </row>
    <row r="403" spans="1:13" s="43" customFormat="1" ht="12.75" hidden="1" x14ac:dyDescent="0.2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7"/>
      <c r="L403" s="54"/>
      <c r="M403" s="54"/>
    </row>
    <row r="404" spans="1:13" s="43" customFormat="1" ht="12.75" hidden="1" x14ac:dyDescent="0.2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7"/>
      <c r="L404" s="54"/>
      <c r="M404" s="54"/>
    </row>
    <row r="405" spans="1:13" s="43" customFormat="1" ht="12.75" hidden="1" x14ac:dyDescent="0.2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7"/>
      <c r="L405" s="54"/>
      <c r="M405" s="54"/>
    </row>
    <row r="406" spans="1:13" s="43" customFormat="1" ht="12.75" hidden="1" x14ac:dyDescent="0.2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7"/>
      <c r="L406" s="54"/>
      <c r="M406" s="54"/>
    </row>
    <row r="407" spans="1:13" s="43" customFormat="1" ht="12.75" hidden="1" x14ac:dyDescent="0.2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7"/>
      <c r="L407" s="54"/>
      <c r="M407" s="54"/>
    </row>
    <row r="408" spans="1:13" s="43" customFormat="1" ht="12.75" hidden="1" x14ac:dyDescent="0.2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7"/>
      <c r="L408" s="54"/>
      <c r="M408" s="54"/>
    </row>
    <row r="409" spans="1:13" s="43" customFormat="1" ht="12.75" hidden="1" x14ac:dyDescent="0.2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7"/>
      <c r="L409" s="54"/>
      <c r="M409" s="54"/>
    </row>
    <row r="410" spans="1:13" s="43" customFormat="1" ht="12.75" hidden="1" x14ac:dyDescent="0.2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7"/>
      <c r="L410" s="54"/>
      <c r="M410" s="54"/>
    </row>
    <row r="411" spans="1:13" s="43" customFormat="1" ht="12.75" hidden="1" x14ac:dyDescent="0.2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7"/>
      <c r="L411" s="54"/>
      <c r="M411" s="54"/>
    </row>
    <row r="412" spans="1:13" s="43" customFormat="1" ht="12.75" hidden="1" x14ac:dyDescent="0.2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7"/>
      <c r="L412" s="54"/>
      <c r="M412" s="54"/>
    </row>
    <row r="413" spans="1:13" s="43" customFormat="1" ht="12.75" hidden="1" x14ac:dyDescent="0.2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7"/>
      <c r="L413" s="54"/>
      <c r="M413" s="54"/>
    </row>
    <row r="414" spans="1:13" s="43" customFormat="1" ht="12.75" hidden="1" x14ac:dyDescent="0.2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7"/>
      <c r="L414" s="54"/>
      <c r="M414" s="54"/>
    </row>
    <row r="415" spans="1:13" s="43" customFormat="1" ht="12.75" hidden="1" x14ac:dyDescent="0.2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7"/>
      <c r="L415" s="54"/>
      <c r="M415" s="54"/>
    </row>
    <row r="416" spans="1:13" s="43" customFormat="1" ht="12.75" hidden="1" x14ac:dyDescent="0.2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7"/>
      <c r="L416" s="54"/>
      <c r="M416" s="54"/>
    </row>
    <row r="417" spans="1:13" s="43" customFormat="1" ht="12.75" hidden="1" x14ac:dyDescent="0.2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7"/>
      <c r="L417" s="54"/>
      <c r="M417" s="54"/>
    </row>
    <row r="418" spans="1:13" s="43" customFormat="1" ht="12.75" hidden="1" x14ac:dyDescent="0.2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7"/>
      <c r="L418" s="54"/>
      <c r="M418" s="54"/>
    </row>
    <row r="419" spans="1:13" s="43" customFormat="1" ht="12.75" hidden="1" x14ac:dyDescent="0.2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7"/>
      <c r="L419" s="54"/>
      <c r="M419" s="54"/>
    </row>
    <row r="420" spans="1:13" s="43" customFormat="1" ht="12.75" hidden="1" x14ac:dyDescent="0.2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7"/>
      <c r="L420" s="54"/>
      <c r="M420" s="54"/>
    </row>
    <row r="421" spans="1:13" s="43" customFormat="1" ht="12.75" hidden="1" x14ac:dyDescent="0.2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7"/>
      <c r="L421" s="54"/>
      <c r="M421" s="54"/>
    </row>
    <row r="422" spans="1:13" s="43" customFormat="1" ht="12.75" hidden="1" x14ac:dyDescent="0.2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7"/>
      <c r="L422" s="54"/>
      <c r="M422" s="54"/>
    </row>
    <row r="423" spans="1:13" s="43" customFormat="1" ht="12.75" hidden="1" x14ac:dyDescent="0.2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7"/>
      <c r="L423" s="54"/>
      <c r="M423" s="54"/>
    </row>
    <row r="424" spans="1:13" s="43" customFormat="1" ht="12.75" hidden="1" x14ac:dyDescent="0.2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7"/>
      <c r="L424" s="54"/>
      <c r="M424" s="54"/>
    </row>
    <row r="425" spans="1:13" s="43" customFormat="1" ht="12.75" hidden="1" x14ac:dyDescent="0.2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7"/>
      <c r="L425" s="54"/>
      <c r="M425" s="54"/>
    </row>
    <row r="426" spans="1:13" s="43" customFormat="1" ht="12.75" hidden="1" x14ac:dyDescent="0.2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7"/>
      <c r="L426" s="54"/>
      <c r="M426" s="54"/>
    </row>
    <row r="427" spans="1:13" s="43" customFormat="1" ht="12.75" hidden="1" x14ac:dyDescent="0.2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7"/>
      <c r="L427" s="54"/>
      <c r="M427" s="54"/>
    </row>
    <row r="428" spans="1:13" s="43" customFormat="1" ht="12.75" hidden="1" x14ac:dyDescent="0.2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7"/>
      <c r="L428" s="54"/>
      <c r="M428" s="54"/>
    </row>
    <row r="429" spans="1:13" s="43" customFormat="1" ht="12.75" hidden="1" x14ac:dyDescent="0.2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7"/>
      <c r="L429" s="54"/>
      <c r="M429" s="54"/>
    </row>
    <row r="430" spans="1:13" s="43" customFormat="1" ht="12.75" hidden="1" x14ac:dyDescent="0.2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7"/>
      <c r="L430" s="54"/>
      <c r="M430" s="54"/>
    </row>
    <row r="431" spans="1:13" s="43" customFormat="1" ht="12.75" hidden="1" x14ac:dyDescent="0.2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7"/>
      <c r="L431" s="54"/>
      <c r="M431" s="54"/>
    </row>
    <row r="432" spans="1:13" s="43" customFormat="1" ht="12.75" hidden="1" x14ac:dyDescent="0.2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7"/>
      <c r="L432" s="54"/>
      <c r="M432" s="54"/>
    </row>
    <row r="433" spans="1:13" s="43" customFormat="1" ht="12.75" hidden="1" x14ac:dyDescent="0.2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7"/>
      <c r="L433" s="54"/>
      <c r="M433" s="54"/>
    </row>
    <row r="434" spans="1:13" s="43" customFormat="1" ht="12.75" hidden="1" x14ac:dyDescent="0.2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7"/>
      <c r="L434" s="54"/>
      <c r="M434" s="54"/>
    </row>
    <row r="435" spans="1:13" s="43" customFormat="1" ht="12.75" hidden="1" x14ac:dyDescent="0.2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7"/>
      <c r="L435" s="54"/>
      <c r="M435" s="54"/>
    </row>
    <row r="436" spans="1:13" s="43" customFormat="1" ht="12.75" hidden="1" x14ac:dyDescent="0.2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7"/>
      <c r="L436" s="54"/>
      <c r="M436" s="54"/>
    </row>
    <row r="437" spans="1:13" s="43" customFormat="1" ht="12.75" hidden="1" x14ac:dyDescent="0.2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7"/>
      <c r="L437" s="54"/>
      <c r="M437" s="54"/>
    </row>
    <row r="438" spans="1:13" s="43" customFormat="1" ht="12.75" hidden="1" x14ac:dyDescent="0.2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7"/>
      <c r="L438" s="54"/>
      <c r="M438" s="54"/>
    </row>
    <row r="439" spans="1:13" s="43" customFormat="1" ht="12.75" hidden="1" x14ac:dyDescent="0.2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7"/>
      <c r="L439" s="54"/>
      <c r="M439" s="54"/>
    </row>
    <row r="440" spans="1:13" s="43" customFormat="1" ht="12.75" hidden="1" x14ac:dyDescent="0.2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7"/>
      <c r="L440" s="54"/>
      <c r="M440" s="54"/>
    </row>
    <row r="441" spans="1:13" s="43" customFormat="1" ht="12.75" hidden="1" x14ac:dyDescent="0.2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7"/>
      <c r="L441" s="54"/>
      <c r="M441" s="54"/>
    </row>
    <row r="442" spans="1:13" s="43" customFormat="1" ht="12.75" hidden="1" x14ac:dyDescent="0.2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7"/>
      <c r="L442" s="54"/>
      <c r="M442" s="54"/>
    </row>
    <row r="443" spans="1:13" s="43" customFormat="1" ht="12.75" hidden="1" x14ac:dyDescent="0.2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7"/>
      <c r="L443" s="54"/>
      <c r="M443" s="54"/>
    </row>
    <row r="444" spans="1:13" s="43" customFormat="1" ht="12.75" hidden="1" x14ac:dyDescent="0.2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7"/>
      <c r="L444" s="54"/>
      <c r="M444" s="54"/>
    </row>
    <row r="445" spans="1:13" s="43" customFormat="1" ht="12.75" hidden="1" x14ac:dyDescent="0.2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7"/>
      <c r="L445" s="54"/>
      <c r="M445" s="54"/>
    </row>
    <row r="446" spans="1:13" s="43" customFormat="1" ht="12.75" hidden="1" x14ac:dyDescent="0.2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7"/>
      <c r="L446" s="54"/>
      <c r="M446" s="54"/>
    </row>
    <row r="447" spans="1:13" s="43" customFormat="1" ht="12.75" hidden="1" x14ac:dyDescent="0.2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7"/>
      <c r="L447" s="54"/>
      <c r="M447" s="54"/>
    </row>
    <row r="448" spans="1:13" s="43" customFormat="1" ht="12.75" hidden="1" x14ac:dyDescent="0.2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7"/>
      <c r="L448" s="54"/>
      <c r="M448" s="54"/>
    </row>
    <row r="449" spans="1:13" s="43" customFormat="1" ht="12.75" hidden="1" x14ac:dyDescent="0.2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7"/>
      <c r="L449" s="54"/>
      <c r="M449" s="54"/>
    </row>
    <row r="450" spans="1:13" s="43" customFormat="1" ht="12.75" hidden="1" x14ac:dyDescent="0.2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7"/>
      <c r="L450" s="54"/>
      <c r="M450" s="54"/>
    </row>
    <row r="451" spans="1:13" s="43" customFormat="1" ht="12.75" hidden="1" x14ac:dyDescent="0.2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7"/>
      <c r="L451" s="54"/>
      <c r="M451" s="54"/>
    </row>
    <row r="452" spans="1:13" s="43" customFormat="1" ht="12.75" hidden="1" x14ac:dyDescent="0.2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7"/>
      <c r="L452" s="54"/>
      <c r="M452" s="54"/>
    </row>
    <row r="453" spans="1:13" s="43" customFormat="1" ht="12.75" hidden="1" x14ac:dyDescent="0.2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7"/>
      <c r="L453" s="54"/>
      <c r="M453" s="54"/>
    </row>
    <row r="454" spans="1:13" s="43" customFormat="1" ht="12.75" hidden="1" x14ac:dyDescent="0.2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7"/>
      <c r="L454" s="54"/>
      <c r="M454" s="54"/>
    </row>
    <row r="455" spans="1:13" s="43" customFormat="1" ht="12.75" hidden="1" x14ac:dyDescent="0.2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7"/>
      <c r="L455" s="54"/>
      <c r="M455" s="54"/>
    </row>
    <row r="456" spans="1:13" s="43" customFormat="1" ht="12.75" hidden="1" x14ac:dyDescent="0.2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7"/>
      <c r="L456" s="54"/>
      <c r="M456" s="54"/>
    </row>
    <row r="457" spans="1:13" s="43" customFormat="1" ht="12.75" hidden="1" x14ac:dyDescent="0.2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7"/>
      <c r="L457" s="54"/>
      <c r="M457" s="54"/>
    </row>
    <row r="458" spans="1:13" s="43" customFormat="1" ht="12.75" hidden="1" x14ac:dyDescent="0.2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7"/>
      <c r="L458" s="54"/>
      <c r="M458" s="54"/>
    </row>
    <row r="459" spans="1:13" s="43" customFormat="1" ht="12.75" hidden="1" x14ac:dyDescent="0.2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7"/>
      <c r="L459" s="54"/>
      <c r="M459" s="54"/>
    </row>
    <row r="460" spans="1:13" s="43" customFormat="1" ht="12.75" hidden="1" x14ac:dyDescent="0.2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7"/>
      <c r="L460" s="54"/>
      <c r="M460" s="54"/>
    </row>
    <row r="461" spans="1:13" s="43" customFormat="1" ht="12.75" hidden="1" x14ac:dyDescent="0.2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7"/>
      <c r="L461" s="54"/>
      <c r="M461" s="54"/>
    </row>
    <row r="462" spans="1:13" s="43" customFormat="1" ht="12.75" hidden="1" x14ac:dyDescent="0.2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7"/>
      <c r="L462" s="54"/>
      <c r="M462" s="54"/>
    </row>
    <row r="463" spans="1:13" s="43" customFormat="1" ht="12.75" hidden="1" x14ac:dyDescent="0.2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7"/>
      <c r="L463" s="54"/>
      <c r="M463" s="54"/>
    </row>
    <row r="464" spans="1:13" s="43" customFormat="1" ht="12.75" hidden="1" x14ac:dyDescent="0.2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7"/>
      <c r="L464" s="54"/>
      <c r="M464" s="54"/>
    </row>
    <row r="465" spans="1:13" s="43" customFormat="1" ht="12.75" hidden="1" x14ac:dyDescent="0.2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7"/>
      <c r="L465" s="54"/>
      <c r="M465" s="54"/>
    </row>
    <row r="466" spans="1:13" s="43" customFormat="1" ht="12.75" hidden="1" x14ac:dyDescent="0.2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7"/>
      <c r="L466" s="54"/>
      <c r="M466" s="54"/>
    </row>
    <row r="467" spans="1:13" s="43" customFormat="1" ht="12.75" hidden="1" x14ac:dyDescent="0.2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7"/>
      <c r="L467" s="54"/>
      <c r="M467" s="54"/>
    </row>
    <row r="468" spans="1:13" s="43" customFormat="1" ht="12.75" hidden="1" x14ac:dyDescent="0.2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7"/>
      <c r="L468" s="54"/>
      <c r="M468" s="54"/>
    </row>
    <row r="469" spans="1:13" s="43" customFormat="1" ht="12.75" hidden="1" x14ac:dyDescent="0.2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7"/>
      <c r="L469" s="54"/>
      <c r="M469" s="54"/>
    </row>
    <row r="470" spans="1:13" s="43" customFormat="1" ht="12.75" hidden="1" x14ac:dyDescent="0.2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7"/>
      <c r="L470" s="54"/>
      <c r="M470" s="54"/>
    </row>
    <row r="471" spans="1:13" s="43" customFormat="1" ht="12.75" hidden="1" x14ac:dyDescent="0.2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7"/>
      <c r="L471" s="54"/>
      <c r="M471" s="54"/>
    </row>
    <row r="472" spans="1:13" s="43" customFormat="1" ht="12.75" hidden="1" x14ac:dyDescent="0.2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7"/>
      <c r="L472" s="54"/>
      <c r="M472" s="54"/>
    </row>
    <row r="473" spans="1:13" s="43" customFormat="1" ht="12.75" hidden="1" x14ac:dyDescent="0.2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7"/>
      <c r="L473" s="54"/>
      <c r="M473" s="54"/>
    </row>
    <row r="474" spans="1:13" s="43" customFormat="1" ht="12.75" hidden="1" x14ac:dyDescent="0.2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7"/>
      <c r="L474" s="54"/>
      <c r="M474" s="54"/>
    </row>
    <row r="475" spans="1:13" s="43" customFormat="1" ht="12.75" hidden="1" x14ac:dyDescent="0.2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7"/>
      <c r="L475" s="54"/>
      <c r="M475" s="54"/>
    </row>
    <row r="476" spans="1:13" s="43" customFormat="1" ht="12.75" hidden="1" x14ac:dyDescent="0.2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7"/>
      <c r="L476" s="54"/>
      <c r="M476" s="54"/>
    </row>
    <row r="477" spans="1:13" s="43" customFormat="1" ht="12.75" hidden="1" x14ac:dyDescent="0.2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7"/>
      <c r="L477" s="54"/>
      <c r="M477" s="54"/>
    </row>
    <row r="478" spans="1:13" s="43" customFormat="1" ht="12.75" hidden="1" x14ac:dyDescent="0.2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7"/>
      <c r="L478" s="54"/>
      <c r="M478" s="54"/>
    </row>
    <row r="479" spans="1:13" s="43" customFormat="1" ht="12.75" hidden="1" x14ac:dyDescent="0.2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7"/>
      <c r="L479" s="54"/>
      <c r="M479" s="54"/>
    </row>
    <row r="480" spans="1:13" s="43" customFormat="1" ht="12.75" hidden="1" x14ac:dyDescent="0.2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7"/>
      <c r="L480" s="54"/>
      <c r="M480" s="54"/>
    </row>
    <row r="481" spans="1:13" s="43" customFormat="1" ht="12.75" hidden="1" x14ac:dyDescent="0.2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7"/>
      <c r="L481" s="54"/>
      <c r="M481" s="54"/>
    </row>
    <row r="482" spans="1:13" s="43" customFormat="1" ht="12.75" hidden="1" x14ac:dyDescent="0.2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7"/>
      <c r="L482" s="54"/>
      <c r="M482" s="54"/>
    </row>
    <row r="483" spans="1:13" s="43" customFormat="1" ht="12.75" hidden="1" x14ac:dyDescent="0.2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7"/>
      <c r="L483" s="54"/>
      <c r="M483" s="54"/>
    </row>
    <row r="484" spans="1:13" s="43" customFormat="1" ht="12.75" hidden="1" x14ac:dyDescent="0.2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7"/>
      <c r="L484" s="54"/>
      <c r="M484" s="54"/>
    </row>
    <row r="485" spans="1:13" s="43" customFormat="1" ht="12.75" hidden="1" x14ac:dyDescent="0.2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7"/>
      <c r="L485" s="54"/>
      <c r="M485" s="54"/>
    </row>
    <row r="486" spans="1:13" s="43" customFormat="1" ht="12.75" hidden="1" x14ac:dyDescent="0.2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7"/>
      <c r="L486" s="54"/>
      <c r="M486" s="54"/>
    </row>
    <row r="487" spans="1:13" s="43" customFormat="1" ht="12.75" hidden="1" x14ac:dyDescent="0.2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7"/>
      <c r="L487" s="54"/>
      <c r="M487" s="54"/>
    </row>
    <row r="488" spans="1:13" s="43" customFormat="1" ht="12.75" hidden="1" x14ac:dyDescent="0.2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7"/>
      <c r="L488" s="54"/>
      <c r="M488" s="54"/>
    </row>
    <row r="489" spans="1:13" s="43" customFormat="1" ht="12.75" hidden="1" x14ac:dyDescent="0.2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7"/>
      <c r="L489" s="54"/>
      <c r="M489" s="54"/>
    </row>
    <row r="490" spans="1:13" s="43" customFormat="1" ht="12.75" hidden="1" x14ac:dyDescent="0.2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7"/>
      <c r="L490" s="54"/>
      <c r="M490" s="54"/>
    </row>
    <row r="491" spans="1:13" s="43" customFormat="1" ht="12.75" hidden="1" x14ac:dyDescent="0.2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7"/>
      <c r="L491" s="54"/>
      <c r="M491" s="54"/>
    </row>
    <row r="492" spans="1:13" s="43" customFormat="1" ht="12.75" hidden="1" x14ac:dyDescent="0.2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7"/>
      <c r="L492" s="54"/>
      <c r="M492" s="54"/>
    </row>
    <row r="493" spans="1:13" s="43" customFormat="1" ht="12.75" hidden="1" x14ac:dyDescent="0.2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7"/>
      <c r="L493" s="54"/>
      <c r="M493" s="54"/>
    </row>
    <row r="494" spans="1:13" s="43" customFormat="1" ht="12.75" hidden="1" x14ac:dyDescent="0.2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7"/>
      <c r="L494" s="54"/>
      <c r="M494" s="54"/>
    </row>
    <row r="495" spans="1:13" s="43" customFormat="1" ht="12.75" hidden="1" x14ac:dyDescent="0.2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7"/>
      <c r="L495" s="54"/>
      <c r="M495" s="54"/>
    </row>
    <row r="496" spans="1:13" s="43" customFormat="1" ht="12.75" hidden="1" x14ac:dyDescent="0.2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7"/>
      <c r="L496" s="54"/>
      <c r="M496" s="54"/>
    </row>
    <row r="497" spans="1:13" s="43" customFormat="1" ht="12.75" hidden="1" x14ac:dyDescent="0.2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7"/>
      <c r="L497" s="54"/>
      <c r="M497" s="54"/>
    </row>
    <row r="498" spans="1:13" s="43" customFormat="1" ht="12.75" hidden="1" x14ac:dyDescent="0.2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7"/>
      <c r="L498" s="54"/>
      <c r="M498" s="54"/>
    </row>
    <row r="499" spans="1:13" s="43" customFormat="1" ht="12.75" hidden="1" x14ac:dyDescent="0.2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7"/>
      <c r="L499" s="54"/>
      <c r="M499" s="54"/>
    </row>
    <row r="500" spans="1:13" s="43" customFormat="1" ht="12.75" hidden="1" x14ac:dyDescent="0.2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7"/>
      <c r="L500" s="54"/>
      <c r="M500" s="54"/>
    </row>
    <row r="501" spans="1:13" s="43" customFormat="1" ht="12.75" hidden="1" x14ac:dyDescent="0.2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7"/>
      <c r="L501" s="54"/>
      <c r="M501" s="54"/>
    </row>
    <row r="502" spans="1:13" s="43" customFormat="1" ht="12.75" hidden="1" x14ac:dyDescent="0.2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7"/>
      <c r="L502" s="54"/>
      <c r="M502" s="54"/>
    </row>
    <row r="503" spans="1:13" s="43" customFormat="1" ht="12.75" hidden="1" x14ac:dyDescent="0.2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7"/>
      <c r="L503" s="54"/>
      <c r="M503" s="54"/>
    </row>
    <row r="504" spans="1:13" s="43" customFormat="1" ht="12.75" hidden="1" x14ac:dyDescent="0.2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7"/>
      <c r="L504" s="54"/>
      <c r="M504" s="54"/>
    </row>
    <row r="505" spans="1:13" s="43" customFormat="1" ht="12.75" hidden="1" x14ac:dyDescent="0.2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7"/>
      <c r="L505" s="54"/>
      <c r="M505" s="54"/>
    </row>
    <row r="506" spans="1:13" s="43" customFormat="1" ht="12.75" hidden="1" x14ac:dyDescent="0.2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7"/>
      <c r="L506" s="54"/>
      <c r="M506" s="54"/>
    </row>
    <row r="507" spans="1:13" s="43" customFormat="1" ht="12.75" hidden="1" x14ac:dyDescent="0.2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7"/>
      <c r="L507" s="54"/>
      <c r="M507" s="54"/>
    </row>
    <row r="508" spans="1:13" s="43" customFormat="1" ht="12.75" hidden="1" x14ac:dyDescent="0.2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7"/>
      <c r="L508" s="54"/>
      <c r="M508" s="54"/>
    </row>
    <row r="509" spans="1:13" s="43" customFormat="1" ht="12.75" hidden="1" x14ac:dyDescent="0.2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7"/>
      <c r="L509" s="54"/>
      <c r="M509" s="54"/>
    </row>
    <row r="510" spans="1:13" s="43" customFormat="1" ht="12.75" hidden="1" x14ac:dyDescent="0.2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7"/>
      <c r="L510" s="54"/>
      <c r="M510" s="54"/>
    </row>
    <row r="511" spans="1:13" s="43" customFormat="1" ht="12.75" hidden="1" x14ac:dyDescent="0.2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7"/>
      <c r="L511" s="54"/>
      <c r="M511" s="54"/>
    </row>
    <row r="512" spans="1:13" s="43" customFormat="1" ht="12.75" hidden="1" x14ac:dyDescent="0.2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7"/>
      <c r="L512" s="54"/>
      <c r="M512" s="54"/>
    </row>
    <row r="513" spans="1:13" s="43" customFormat="1" ht="12.75" hidden="1" x14ac:dyDescent="0.2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7"/>
      <c r="L513" s="54"/>
      <c r="M513" s="54"/>
    </row>
    <row r="514" spans="1:13" s="43" customFormat="1" ht="12.75" hidden="1" x14ac:dyDescent="0.2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7"/>
      <c r="L514" s="54"/>
      <c r="M514" s="54"/>
    </row>
    <row r="515" spans="1:13" s="43" customFormat="1" ht="12.75" hidden="1" x14ac:dyDescent="0.2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7"/>
      <c r="L515" s="54"/>
      <c r="M515" s="54"/>
    </row>
    <row r="516" spans="1:13" s="43" customFormat="1" ht="12.75" hidden="1" x14ac:dyDescent="0.2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7"/>
      <c r="L516" s="54"/>
      <c r="M516" s="54"/>
    </row>
    <row r="517" spans="1:13" s="43" customFormat="1" ht="12.75" hidden="1" x14ac:dyDescent="0.2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7"/>
      <c r="L517" s="54"/>
      <c r="M517" s="54"/>
    </row>
    <row r="518" spans="1:13" s="43" customFormat="1" ht="12.75" hidden="1" x14ac:dyDescent="0.2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7"/>
      <c r="L518" s="54"/>
      <c r="M518" s="54"/>
    </row>
    <row r="519" spans="1:13" s="43" customFormat="1" ht="12.75" hidden="1" x14ac:dyDescent="0.2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7"/>
      <c r="L519" s="54"/>
      <c r="M519" s="54"/>
    </row>
    <row r="520" spans="1:13" s="43" customFormat="1" ht="12.75" hidden="1" x14ac:dyDescent="0.2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7"/>
      <c r="L520" s="54"/>
      <c r="M520" s="54"/>
    </row>
    <row r="521" spans="1:13" s="43" customFormat="1" ht="12.75" hidden="1" x14ac:dyDescent="0.2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7"/>
      <c r="L521" s="54"/>
      <c r="M521" s="54"/>
    </row>
    <row r="522" spans="1:13" s="43" customFormat="1" ht="12.75" hidden="1" x14ac:dyDescent="0.2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7"/>
      <c r="L522" s="54"/>
      <c r="M522" s="54"/>
    </row>
    <row r="523" spans="1:13" s="43" customFormat="1" ht="12.75" hidden="1" x14ac:dyDescent="0.2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7"/>
      <c r="L523" s="54"/>
      <c r="M523" s="54"/>
    </row>
    <row r="524" spans="1:13" s="43" customFormat="1" ht="12.75" hidden="1" x14ac:dyDescent="0.2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7"/>
      <c r="L524" s="54"/>
      <c r="M524" s="54"/>
    </row>
    <row r="525" spans="1:13" s="43" customFormat="1" ht="12.75" hidden="1" x14ac:dyDescent="0.2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7"/>
      <c r="L525" s="54"/>
      <c r="M525" s="54"/>
    </row>
    <row r="526" spans="1:13" s="43" customFormat="1" ht="12.75" hidden="1" x14ac:dyDescent="0.2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7"/>
      <c r="L526" s="54"/>
      <c r="M526" s="54"/>
    </row>
    <row r="527" spans="1:13" s="43" customFormat="1" ht="12.75" hidden="1" x14ac:dyDescent="0.2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7"/>
      <c r="L527" s="54"/>
      <c r="M527" s="54"/>
    </row>
    <row r="528" spans="1:13" s="43" customFormat="1" ht="12.75" hidden="1" x14ac:dyDescent="0.2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7"/>
      <c r="L528" s="54"/>
      <c r="M528" s="54"/>
    </row>
    <row r="529" spans="1:13" s="43" customFormat="1" ht="12.75" hidden="1" x14ac:dyDescent="0.2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7"/>
      <c r="L529" s="54"/>
      <c r="M529" s="54"/>
    </row>
    <row r="530" spans="1:13" s="43" customFormat="1" ht="12.75" hidden="1" x14ac:dyDescent="0.2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7"/>
      <c r="L530" s="54"/>
      <c r="M530" s="54"/>
    </row>
    <row r="531" spans="1:13" s="43" customFormat="1" ht="12.75" hidden="1" x14ac:dyDescent="0.2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7"/>
      <c r="L531" s="54"/>
      <c r="M531" s="54"/>
    </row>
    <row r="532" spans="1:13" s="43" customFormat="1" ht="12.75" hidden="1" x14ac:dyDescent="0.2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7"/>
      <c r="L532" s="54"/>
      <c r="M532" s="54"/>
    </row>
    <row r="533" spans="1:13" s="43" customFormat="1" ht="12.75" hidden="1" x14ac:dyDescent="0.2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7"/>
      <c r="L533" s="54"/>
      <c r="M533" s="54"/>
    </row>
    <row r="534" spans="1:13" s="43" customFormat="1" ht="12.75" hidden="1" x14ac:dyDescent="0.2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7"/>
      <c r="L534" s="54"/>
      <c r="M534" s="54"/>
    </row>
    <row r="535" spans="1:13" s="43" customFormat="1" ht="12.75" hidden="1" x14ac:dyDescent="0.2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7"/>
      <c r="L535" s="54"/>
      <c r="M535" s="54"/>
    </row>
    <row r="536" spans="1:13" s="43" customFormat="1" ht="12.75" hidden="1" x14ac:dyDescent="0.2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7"/>
      <c r="L536" s="54"/>
      <c r="M536" s="54"/>
    </row>
    <row r="537" spans="1:13" s="43" customFormat="1" ht="12.75" hidden="1" x14ac:dyDescent="0.2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7"/>
      <c r="L537" s="54"/>
      <c r="M537" s="54"/>
    </row>
    <row r="538" spans="1:13" s="43" customFormat="1" ht="12.75" hidden="1" x14ac:dyDescent="0.2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7"/>
      <c r="L538" s="54"/>
      <c r="M538" s="54"/>
    </row>
    <row r="539" spans="1:13" s="43" customFormat="1" ht="12.75" hidden="1" x14ac:dyDescent="0.2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7"/>
      <c r="L539" s="54"/>
      <c r="M539" s="54"/>
    </row>
    <row r="540" spans="1:13" s="43" customFormat="1" ht="12.75" hidden="1" x14ac:dyDescent="0.2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7"/>
      <c r="L540" s="54"/>
      <c r="M540" s="54"/>
    </row>
    <row r="541" spans="1:13" s="43" customFormat="1" ht="12.75" hidden="1" x14ac:dyDescent="0.2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7"/>
      <c r="L541" s="54"/>
      <c r="M541" s="54"/>
    </row>
    <row r="542" spans="1:13" s="43" customFormat="1" ht="12.75" hidden="1" x14ac:dyDescent="0.2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7"/>
      <c r="L542" s="54"/>
      <c r="M542" s="54"/>
    </row>
    <row r="543" spans="1:13" s="43" customFormat="1" ht="12.75" hidden="1" x14ac:dyDescent="0.2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7"/>
      <c r="L543" s="54"/>
      <c r="M543" s="54"/>
    </row>
    <row r="544" spans="1:13" s="43" customFormat="1" ht="12.75" hidden="1" x14ac:dyDescent="0.2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7"/>
      <c r="L544" s="54"/>
      <c r="M544" s="54"/>
    </row>
    <row r="545" spans="1:13" s="43" customFormat="1" ht="12.75" hidden="1" x14ac:dyDescent="0.2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7"/>
      <c r="L545" s="54"/>
      <c r="M545" s="54"/>
    </row>
    <row r="546" spans="1:13" s="43" customFormat="1" ht="12.75" hidden="1" x14ac:dyDescent="0.2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7"/>
      <c r="L546" s="54"/>
      <c r="M546" s="54"/>
    </row>
    <row r="547" spans="1:13" s="43" customFormat="1" ht="12.75" hidden="1" x14ac:dyDescent="0.2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7"/>
      <c r="L547" s="54"/>
      <c r="M547" s="54"/>
    </row>
    <row r="548" spans="1:13" s="43" customFormat="1" ht="12.75" hidden="1" x14ac:dyDescent="0.2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7"/>
      <c r="L548" s="54"/>
      <c r="M548" s="54"/>
    </row>
    <row r="549" spans="1:13" s="43" customFormat="1" ht="12.75" hidden="1" x14ac:dyDescent="0.2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7"/>
      <c r="L549" s="54"/>
      <c r="M549" s="54"/>
    </row>
    <row r="550" spans="1:13" s="43" customFormat="1" ht="12.75" hidden="1" x14ac:dyDescent="0.2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7"/>
      <c r="L550" s="54"/>
      <c r="M550" s="54"/>
    </row>
    <row r="551" spans="1:13" s="43" customFormat="1" ht="12.75" hidden="1" x14ac:dyDescent="0.2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7"/>
      <c r="L551" s="54"/>
      <c r="M551" s="54"/>
    </row>
    <row r="552" spans="1:13" s="43" customFormat="1" ht="12.75" hidden="1" x14ac:dyDescent="0.2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7"/>
      <c r="L552" s="54"/>
      <c r="M552" s="54"/>
    </row>
    <row r="553" spans="1:13" s="43" customFormat="1" ht="12.75" hidden="1" x14ac:dyDescent="0.2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7"/>
      <c r="L553" s="54"/>
      <c r="M553" s="54"/>
    </row>
    <row r="554" spans="1:13" s="43" customFormat="1" ht="12.75" hidden="1" x14ac:dyDescent="0.2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7"/>
      <c r="L554" s="54"/>
      <c r="M554" s="54"/>
    </row>
    <row r="555" spans="1:13" s="43" customFormat="1" ht="12.75" hidden="1" x14ac:dyDescent="0.2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7"/>
      <c r="L555" s="54"/>
      <c r="M555" s="54"/>
    </row>
    <row r="556" spans="1:13" s="43" customFormat="1" ht="12.75" hidden="1" x14ac:dyDescent="0.2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7"/>
      <c r="L556" s="54"/>
      <c r="M556" s="54"/>
    </row>
    <row r="557" spans="1:13" s="43" customFormat="1" ht="12.75" hidden="1" x14ac:dyDescent="0.2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7"/>
      <c r="L557" s="54"/>
      <c r="M557" s="54"/>
    </row>
    <row r="558" spans="1:13" s="43" customFormat="1" ht="12.75" hidden="1" x14ac:dyDescent="0.2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7"/>
      <c r="L558" s="54"/>
      <c r="M558" s="54"/>
    </row>
    <row r="559" spans="1:13" s="43" customFormat="1" ht="12.75" hidden="1" x14ac:dyDescent="0.2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7"/>
      <c r="L559" s="54"/>
      <c r="M559" s="54"/>
    </row>
    <row r="560" spans="1:13" s="43" customFormat="1" ht="12.75" hidden="1" x14ac:dyDescent="0.2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7"/>
      <c r="L560" s="54"/>
      <c r="M560" s="54"/>
    </row>
    <row r="561" spans="1:13" s="43" customFormat="1" ht="12.75" hidden="1" x14ac:dyDescent="0.2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7"/>
      <c r="L561" s="54"/>
      <c r="M561" s="54"/>
    </row>
    <row r="562" spans="1:13" s="43" customFormat="1" ht="12.75" hidden="1" x14ac:dyDescent="0.2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7"/>
      <c r="L562" s="54"/>
      <c r="M562" s="54"/>
    </row>
    <row r="563" spans="1:13" s="43" customFormat="1" ht="12.75" hidden="1" x14ac:dyDescent="0.2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7"/>
      <c r="L563" s="54"/>
      <c r="M563" s="54"/>
    </row>
    <row r="564" spans="1:13" s="43" customFormat="1" ht="12.75" hidden="1" x14ac:dyDescent="0.2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7"/>
      <c r="L564" s="54"/>
      <c r="M564" s="54"/>
    </row>
    <row r="565" spans="1:13" s="43" customFormat="1" ht="12.75" hidden="1" x14ac:dyDescent="0.2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7"/>
      <c r="L565" s="54"/>
      <c r="M565" s="54"/>
    </row>
    <row r="566" spans="1:13" s="43" customFormat="1" ht="12.75" hidden="1" x14ac:dyDescent="0.2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7"/>
      <c r="L566" s="54"/>
      <c r="M566" s="54"/>
    </row>
    <row r="567" spans="1:13" s="43" customFormat="1" ht="12.75" hidden="1" x14ac:dyDescent="0.2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7"/>
      <c r="L567" s="54"/>
      <c r="M567" s="54"/>
    </row>
    <row r="568" spans="1:13" s="43" customFormat="1" ht="12.75" hidden="1" x14ac:dyDescent="0.2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7"/>
      <c r="L568" s="54"/>
      <c r="M568" s="54"/>
    </row>
    <row r="569" spans="1:13" s="43" customFormat="1" ht="12.75" hidden="1" x14ac:dyDescent="0.2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7"/>
      <c r="L569" s="54"/>
      <c r="M569" s="54"/>
    </row>
    <row r="570" spans="1:13" s="43" customFormat="1" ht="12.75" hidden="1" x14ac:dyDescent="0.2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7"/>
      <c r="L570" s="54"/>
      <c r="M570" s="54"/>
    </row>
    <row r="571" spans="1:13" s="43" customFormat="1" ht="12.75" hidden="1" x14ac:dyDescent="0.2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7"/>
      <c r="L571" s="54"/>
      <c r="M571" s="54"/>
    </row>
    <row r="572" spans="1:13" s="43" customFormat="1" ht="12.75" hidden="1" x14ac:dyDescent="0.2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7"/>
      <c r="L572" s="54"/>
      <c r="M572" s="54"/>
    </row>
    <row r="573" spans="1:13" s="43" customFormat="1" ht="12.75" hidden="1" x14ac:dyDescent="0.2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7"/>
      <c r="L573" s="54"/>
      <c r="M573" s="54"/>
    </row>
    <row r="574" spans="1:13" s="43" customFormat="1" ht="12.75" hidden="1" x14ac:dyDescent="0.2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7"/>
      <c r="L574" s="54"/>
      <c r="M574" s="54"/>
    </row>
    <row r="575" spans="1:13" s="43" customFormat="1" ht="12.75" hidden="1" x14ac:dyDescent="0.2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7"/>
      <c r="L575" s="54"/>
      <c r="M575" s="54"/>
    </row>
    <row r="576" spans="1:13" s="43" customFormat="1" ht="12.75" hidden="1" x14ac:dyDescent="0.2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7"/>
      <c r="L576" s="54"/>
      <c r="M576" s="54"/>
    </row>
    <row r="577" spans="1:13" s="43" customFormat="1" ht="12.75" hidden="1" x14ac:dyDescent="0.2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7"/>
      <c r="L577" s="54"/>
      <c r="M577" s="54"/>
    </row>
    <row r="578" spans="1:13" s="43" customFormat="1" ht="12.75" hidden="1" x14ac:dyDescent="0.2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7"/>
      <c r="L578" s="54"/>
      <c r="M578" s="54"/>
    </row>
    <row r="579" spans="1:13" s="43" customFormat="1" ht="12.75" hidden="1" x14ac:dyDescent="0.2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7"/>
      <c r="L579" s="54"/>
      <c r="M579" s="54"/>
    </row>
    <row r="580" spans="1:13" s="43" customFormat="1" ht="12.75" hidden="1" x14ac:dyDescent="0.2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7"/>
      <c r="L580" s="54"/>
      <c r="M580" s="54"/>
    </row>
    <row r="581" spans="1:13" s="43" customFormat="1" ht="12.75" hidden="1" x14ac:dyDescent="0.2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7"/>
      <c r="L581" s="54"/>
      <c r="M581" s="54"/>
    </row>
    <row r="582" spans="1:13" s="43" customFormat="1" ht="12.75" hidden="1" x14ac:dyDescent="0.2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7"/>
      <c r="L582" s="54"/>
      <c r="M582" s="54"/>
    </row>
    <row r="583" spans="1:13" s="43" customFormat="1" ht="12.75" hidden="1" x14ac:dyDescent="0.2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7"/>
      <c r="L583" s="54"/>
      <c r="M583" s="54"/>
    </row>
    <row r="584" spans="1:13" s="43" customFormat="1" ht="12.75" hidden="1" x14ac:dyDescent="0.2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7"/>
      <c r="L584" s="54"/>
      <c r="M584" s="54"/>
    </row>
    <row r="585" spans="1:13" s="43" customFormat="1" ht="12.75" hidden="1" x14ac:dyDescent="0.2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7"/>
      <c r="L585" s="54"/>
      <c r="M585" s="54"/>
    </row>
    <row r="586" spans="1:13" s="43" customFormat="1" ht="12.75" hidden="1" x14ac:dyDescent="0.2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7"/>
      <c r="L586" s="54"/>
      <c r="M586" s="54"/>
    </row>
    <row r="587" spans="1:13" s="43" customFormat="1" ht="12.75" hidden="1" x14ac:dyDescent="0.2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7"/>
      <c r="L587" s="54"/>
      <c r="M587" s="54"/>
    </row>
    <row r="588" spans="1:13" s="43" customFormat="1" ht="12.75" hidden="1" x14ac:dyDescent="0.2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7"/>
      <c r="L588" s="54"/>
      <c r="M588" s="54"/>
    </row>
    <row r="589" spans="1:13" s="43" customFormat="1" ht="12.75" hidden="1" x14ac:dyDescent="0.2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7"/>
      <c r="L589" s="54"/>
      <c r="M589" s="54"/>
    </row>
    <row r="590" spans="1:13" s="43" customFormat="1" ht="12.75" hidden="1" x14ac:dyDescent="0.2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7"/>
      <c r="L590" s="54"/>
      <c r="M590" s="54"/>
    </row>
    <row r="591" spans="1:13" s="43" customFormat="1" ht="12.75" hidden="1" x14ac:dyDescent="0.2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7"/>
      <c r="L591" s="54"/>
      <c r="M591" s="54"/>
    </row>
    <row r="592" spans="1:13" s="43" customFormat="1" ht="12.75" hidden="1" x14ac:dyDescent="0.2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7"/>
      <c r="L592" s="54"/>
      <c r="M592" s="54"/>
    </row>
    <row r="593" spans="1:13" s="43" customFormat="1" ht="12.75" hidden="1" x14ac:dyDescent="0.2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7"/>
      <c r="L593" s="54"/>
      <c r="M593" s="54"/>
    </row>
    <row r="594" spans="1:13" s="43" customFormat="1" ht="12.75" hidden="1" x14ac:dyDescent="0.2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7"/>
      <c r="L594" s="54"/>
      <c r="M594" s="54"/>
    </row>
    <row r="595" spans="1:13" s="43" customFormat="1" ht="12.75" hidden="1" x14ac:dyDescent="0.2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7"/>
      <c r="L595" s="54"/>
      <c r="M595" s="54"/>
    </row>
    <row r="596" spans="1:13" s="43" customFormat="1" ht="12.75" hidden="1" x14ac:dyDescent="0.2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7"/>
      <c r="L596" s="54"/>
      <c r="M596" s="54"/>
    </row>
    <row r="597" spans="1:13" s="43" customFormat="1" ht="12.75" hidden="1" x14ac:dyDescent="0.2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7"/>
      <c r="L597" s="54"/>
      <c r="M597" s="54"/>
    </row>
    <row r="598" spans="1:13" s="43" customFormat="1" ht="12.75" hidden="1" x14ac:dyDescent="0.2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7"/>
      <c r="L598" s="54"/>
      <c r="M598" s="54"/>
    </row>
    <row r="599" spans="1:13" s="43" customFormat="1" ht="12.75" hidden="1" x14ac:dyDescent="0.2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7"/>
      <c r="L599" s="54"/>
      <c r="M599" s="54"/>
    </row>
    <row r="600" spans="1:13" s="43" customFormat="1" ht="12.75" hidden="1" x14ac:dyDescent="0.2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7"/>
      <c r="L600" s="54"/>
      <c r="M600" s="54"/>
    </row>
    <row r="601" spans="1:13" s="43" customFormat="1" ht="12.75" hidden="1" x14ac:dyDescent="0.2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7"/>
      <c r="L601" s="54"/>
      <c r="M601" s="54"/>
    </row>
    <row r="602" spans="1:13" s="43" customFormat="1" ht="12.75" hidden="1" x14ac:dyDescent="0.2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7"/>
      <c r="L602" s="54"/>
      <c r="M602" s="54"/>
    </row>
    <row r="603" spans="1:13" s="43" customFormat="1" ht="12.75" hidden="1" x14ac:dyDescent="0.2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7"/>
      <c r="L603" s="54"/>
      <c r="M603" s="54"/>
    </row>
    <row r="604" spans="1:13" s="43" customFormat="1" ht="12.75" hidden="1" x14ac:dyDescent="0.2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7"/>
      <c r="L604" s="54"/>
      <c r="M604" s="54"/>
    </row>
    <row r="605" spans="1:13" s="43" customFormat="1" ht="12.75" hidden="1" x14ac:dyDescent="0.2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7"/>
      <c r="L605" s="54"/>
      <c r="M605" s="54"/>
    </row>
    <row r="606" spans="1:13" s="43" customFormat="1" ht="12.75" hidden="1" x14ac:dyDescent="0.2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7"/>
      <c r="L606" s="54"/>
      <c r="M606" s="54"/>
    </row>
    <row r="607" spans="1:13" s="43" customFormat="1" ht="12.75" hidden="1" x14ac:dyDescent="0.2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7"/>
      <c r="L607" s="54"/>
      <c r="M607" s="54"/>
    </row>
    <row r="608" spans="1:13" s="43" customFormat="1" ht="12.75" hidden="1" x14ac:dyDescent="0.2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7"/>
      <c r="L608" s="54"/>
      <c r="M608" s="54"/>
    </row>
    <row r="609" spans="1:13" s="43" customFormat="1" ht="12.75" hidden="1" x14ac:dyDescent="0.2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7"/>
      <c r="L609" s="54"/>
      <c r="M609" s="54"/>
    </row>
    <row r="610" spans="1:13" s="43" customFormat="1" ht="12.75" hidden="1" x14ac:dyDescent="0.2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7"/>
      <c r="L610" s="54"/>
      <c r="M610" s="54"/>
    </row>
    <row r="611" spans="1:13" s="43" customFormat="1" ht="12.75" hidden="1" x14ac:dyDescent="0.2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7"/>
      <c r="L611" s="54"/>
      <c r="M611" s="54"/>
    </row>
    <row r="612" spans="1:13" s="43" customFormat="1" ht="12.75" hidden="1" x14ac:dyDescent="0.2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7"/>
      <c r="L612" s="54"/>
      <c r="M612" s="54"/>
    </row>
    <row r="613" spans="1:13" s="43" customFormat="1" ht="12.75" hidden="1" x14ac:dyDescent="0.2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7"/>
      <c r="L613" s="54"/>
      <c r="M613" s="54"/>
    </row>
    <row r="614" spans="1:13" s="43" customFormat="1" ht="12.75" hidden="1" x14ac:dyDescent="0.2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7"/>
      <c r="L614" s="54"/>
      <c r="M614" s="54"/>
    </row>
    <row r="615" spans="1:13" s="43" customFormat="1" ht="12.75" hidden="1" x14ac:dyDescent="0.2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7"/>
      <c r="L615" s="54"/>
      <c r="M615" s="54"/>
    </row>
    <row r="616" spans="1:13" s="43" customFormat="1" ht="12.75" hidden="1" x14ac:dyDescent="0.2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7"/>
      <c r="L616" s="54"/>
      <c r="M616" s="54"/>
    </row>
    <row r="617" spans="1:13" s="43" customFormat="1" ht="12.75" hidden="1" x14ac:dyDescent="0.2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7"/>
      <c r="L617" s="54"/>
      <c r="M617" s="54"/>
    </row>
    <row r="618" spans="1:13" s="43" customFormat="1" ht="12.75" hidden="1" x14ac:dyDescent="0.2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7"/>
      <c r="L618" s="54"/>
      <c r="M618" s="54"/>
    </row>
    <row r="619" spans="1:13" s="43" customFormat="1" ht="12.75" hidden="1" x14ac:dyDescent="0.2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7"/>
      <c r="L619" s="54"/>
      <c r="M619" s="54"/>
    </row>
    <row r="620" spans="1:13" s="43" customFormat="1" ht="12.75" hidden="1" x14ac:dyDescent="0.2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7"/>
      <c r="L620" s="54"/>
      <c r="M620" s="54"/>
    </row>
    <row r="621" spans="1:13" s="43" customFormat="1" ht="12.75" hidden="1" x14ac:dyDescent="0.2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7"/>
      <c r="L621" s="54"/>
      <c r="M621" s="54"/>
    </row>
    <row r="622" spans="1:13" s="43" customFormat="1" ht="12.75" hidden="1" x14ac:dyDescent="0.2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7"/>
      <c r="L622" s="54"/>
      <c r="M622" s="54"/>
    </row>
    <row r="623" spans="1:13" s="43" customFormat="1" ht="12.75" hidden="1" x14ac:dyDescent="0.2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7"/>
      <c r="L623" s="54"/>
      <c r="M623" s="54"/>
    </row>
    <row r="624" spans="1:13" s="43" customFormat="1" ht="12.75" hidden="1" x14ac:dyDescent="0.2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7"/>
      <c r="L624" s="54"/>
      <c r="M624" s="54"/>
    </row>
    <row r="625" spans="1:13" s="43" customFormat="1" ht="12.75" hidden="1" x14ac:dyDescent="0.2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7"/>
      <c r="L625" s="54"/>
      <c r="M625" s="54"/>
    </row>
    <row r="626" spans="1:13" s="43" customFormat="1" ht="12.75" hidden="1" x14ac:dyDescent="0.2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7"/>
      <c r="L626" s="54"/>
      <c r="M626" s="54"/>
    </row>
    <row r="627" spans="1:13" s="43" customFormat="1" ht="12.75" hidden="1" x14ac:dyDescent="0.2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7"/>
      <c r="L627" s="54"/>
      <c r="M627" s="54"/>
    </row>
    <row r="628" spans="1:13" s="43" customFormat="1" ht="12.75" hidden="1" x14ac:dyDescent="0.2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7"/>
      <c r="L628" s="54"/>
      <c r="M628" s="54"/>
    </row>
    <row r="629" spans="1:13" s="43" customFormat="1" ht="12.75" hidden="1" x14ac:dyDescent="0.2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7"/>
      <c r="L629" s="54"/>
      <c r="M629" s="54"/>
    </row>
    <row r="630" spans="1:13" s="43" customFormat="1" ht="12.75" hidden="1" x14ac:dyDescent="0.2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7"/>
      <c r="L630" s="54"/>
      <c r="M630" s="54"/>
    </row>
    <row r="631" spans="1:13" s="43" customFormat="1" ht="12.75" hidden="1" x14ac:dyDescent="0.2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7"/>
      <c r="L631" s="54"/>
      <c r="M631" s="54"/>
    </row>
    <row r="632" spans="1:13" s="43" customFormat="1" ht="12.75" hidden="1" x14ac:dyDescent="0.2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7"/>
      <c r="L632" s="54"/>
      <c r="M632" s="54"/>
    </row>
    <row r="633" spans="1:13" s="43" customFormat="1" ht="12.75" hidden="1" x14ac:dyDescent="0.2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7"/>
      <c r="L633" s="54"/>
      <c r="M633" s="54"/>
    </row>
    <row r="634" spans="1:13" s="43" customFormat="1" ht="12.75" hidden="1" x14ac:dyDescent="0.2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7"/>
      <c r="L634" s="54"/>
      <c r="M634" s="54"/>
    </row>
    <row r="635" spans="1:13" s="43" customFormat="1" ht="12.75" hidden="1" x14ac:dyDescent="0.2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7"/>
      <c r="L635" s="54"/>
      <c r="M635" s="54"/>
    </row>
    <row r="636" spans="1:13" s="43" customFormat="1" ht="12.75" hidden="1" x14ac:dyDescent="0.2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7"/>
      <c r="L636" s="54"/>
      <c r="M636" s="54"/>
    </row>
    <row r="637" spans="1:13" s="43" customFormat="1" ht="12.75" hidden="1" x14ac:dyDescent="0.2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7"/>
      <c r="L637" s="54"/>
      <c r="M637" s="54"/>
    </row>
    <row r="638" spans="1:13" s="43" customFormat="1" ht="12.75" hidden="1" x14ac:dyDescent="0.2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7"/>
      <c r="L638" s="54"/>
      <c r="M638" s="54"/>
    </row>
    <row r="639" spans="1:13" s="43" customFormat="1" ht="12.75" hidden="1" x14ac:dyDescent="0.2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7"/>
      <c r="L639" s="54"/>
      <c r="M639" s="54"/>
    </row>
    <row r="640" spans="1:13" s="43" customFormat="1" ht="12.75" hidden="1" x14ac:dyDescent="0.2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7"/>
      <c r="L640" s="54"/>
      <c r="M640" s="54"/>
    </row>
    <row r="641" spans="1:13" s="43" customFormat="1" ht="12.75" hidden="1" x14ac:dyDescent="0.2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7"/>
      <c r="L641" s="54"/>
      <c r="M641" s="54"/>
    </row>
    <row r="642" spans="1:13" s="43" customFormat="1" ht="12.75" hidden="1" x14ac:dyDescent="0.2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7"/>
      <c r="L642" s="54"/>
      <c r="M642" s="54"/>
    </row>
    <row r="643" spans="1:13" s="43" customFormat="1" ht="12.75" hidden="1" x14ac:dyDescent="0.2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7"/>
      <c r="L643" s="54"/>
      <c r="M643" s="54"/>
    </row>
    <row r="644" spans="1:13" s="43" customFormat="1" ht="12.75" hidden="1" x14ac:dyDescent="0.2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7"/>
      <c r="L644" s="54"/>
      <c r="M644" s="54"/>
    </row>
    <row r="645" spans="1:13" s="43" customFormat="1" ht="12.75" hidden="1" x14ac:dyDescent="0.2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7"/>
      <c r="L645" s="54"/>
      <c r="M645" s="54"/>
    </row>
    <row r="646" spans="1:13" s="43" customFormat="1" ht="12.75" hidden="1" x14ac:dyDescent="0.2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7"/>
      <c r="L646" s="54"/>
      <c r="M646" s="54"/>
    </row>
    <row r="647" spans="1:13" s="43" customFormat="1" ht="12.75" hidden="1" x14ac:dyDescent="0.2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7"/>
      <c r="L647" s="54"/>
      <c r="M647" s="54"/>
    </row>
    <row r="648" spans="1:13" s="43" customFormat="1" ht="12.75" hidden="1" x14ac:dyDescent="0.2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7"/>
      <c r="L648" s="54"/>
      <c r="M648" s="54"/>
    </row>
    <row r="649" spans="1:13" s="43" customFormat="1" ht="12.75" hidden="1" x14ac:dyDescent="0.2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7"/>
      <c r="L649" s="54"/>
      <c r="M649" s="54"/>
    </row>
    <row r="650" spans="1:13" s="43" customFormat="1" ht="12.75" hidden="1" x14ac:dyDescent="0.2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7"/>
      <c r="L650" s="54"/>
      <c r="M650" s="54"/>
    </row>
    <row r="651" spans="1:13" s="43" customFormat="1" ht="12.75" hidden="1" x14ac:dyDescent="0.2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7"/>
      <c r="L651" s="54"/>
      <c r="M651" s="54"/>
    </row>
    <row r="652" spans="1:13" s="43" customFormat="1" ht="12.75" hidden="1" x14ac:dyDescent="0.2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7"/>
      <c r="L652" s="54"/>
      <c r="M652" s="54"/>
    </row>
    <row r="653" spans="1:13" s="43" customFormat="1" ht="12.75" hidden="1" x14ac:dyDescent="0.2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7"/>
      <c r="L653" s="54"/>
      <c r="M653" s="54"/>
    </row>
    <row r="654" spans="1:13" s="43" customFormat="1" ht="12.75" hidden="1" x14ac:dyDescent="0.2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7"/>
      <c r="L654" s="54"/>
      <c r="M654" s="54"/>
    </row>
    <row r="655" spans="1:13" s="43" customFormat="1" ht="12.75" hidden="1" x14ac:dyDescent="0.2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7"/>
      <c r="L655" s="54"/>
      <c r="M655" s="54"/>
    </row>
    <row r="656" spans="1:13" s="43" customFormat="1" ht="12.75" hidden="1" x14ac:dyDescent="0.2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7"/>
      <c r="L656" s="54"/>
      <c r="M656" s="54"/>
    </row>
    <row r="657" spans="1:13" s="43" customFormat="1" ht="12.75" hidden="1" x14ac:dyDescent="0.2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7"/>
      <c r="L657" s="54"/>
      <c r="M657" s="54"/>
    </row>
    <row r="658" spans="1:13" s="43" customFormat="1" ht="12.75" hidden="1" x14ac:dyDescent="0.2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7"/>
      <c r="L658" s="54"/>
      <c r="M658" s="54"/>
    </row>
    <row r="659" spans="1:13" s="43" customFormat="1" ht="12.75" hidden="1" x14ac:dyDescent="0.2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7"/>
      <c r="L659" s="54"/>
      <c r="M659" s="54"/>
    </row>
    <row r="660" spans="1:13" s="43" customFormat="1" ht="12.75" hidden="1" x14ac:dyDescent="0.2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7"/>
      <c r="L660" s="54"/>
      <c r="M660" s="54"/>
    </row>
    <row r="661" spans="1:13" s="43" customFormat="1" ht="12.75" hidden="1" x14ac:dyDescent="0.2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7"/>
      <c r="L661" s="54"/>
      <c r="M661" s="54"/>
    </row>
    <row r="662" spans="1:13" s="43" customFormat="1" ht="12.75" hidden="1" x14ac:dyDescent="0.2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7"/>
      <c r="L662" s="54"/>
      <c r="M662" s="54"/>
    </row>
    <row r="663" spans="1:13" s="43" customFormat="1" ht="12.75" hidden="1" x14ac:dyDescent="0.2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7"/>
      <c r="L663" s="54"/>
      <c r="M663" s="54"/>
    </row>
    <row r="664" spans="1:13" s="43" customFormat="1" ht="12.75" hidden="1" x14ac:dyDescent="0.2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7"/>
      <c r="L664" s="54"/>
      <c r="M664" s="54"/>
    </row>
    <row r="665" spans="1:13" s="43" customFormat="1" ht="12.75" hidden="1" x14ac:dyDescent="0.2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7"/>
      <c r="L665" s="54"/>
      <c r="M665" s="54"/>
    </row>
    <row r="666" spans="1:13" s="43" customFormat="1" ht="12.75" hidden="1" x14ac:dyDescent="0.2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7"/>
      <c r="L666" s="54"/>
      <c r="M666" s="54"/>
    </row>
    <row r="667" spans="1:13" s="43" customFormat="1" ht="12.75" hidden="1" x14ac:dyDescent="0.2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7"/>
      <c r="L667" s="54"/>
      <c r="M667" s="54"/>
    </row>
    <row r="668" spans="1:13" s="43" customFormat="1" ht="12.75" hidden="1" x14ac:dyDescent="0.2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7"/>
      <c r="L668" s="54"/>
      <c r="M668" s="54"/>
    </row>
    <row r="669" spans="1:13" s="43" customFormat="1" ht="12.75" hidden="1" x14ac:dyDescent="0.2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7"/>
      <c r="L669" s="54"/>
      <c r="M669" s="54"/>
    </row>
    <row r="670" spans="1:13" s="43" customFormat="1" ht="12.75" hidden="1" x14ac:dyDescent="0.2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7"/>
      <c r="L670" s="54"/>
      <c r="M670" s="54"/>
    </row>
    <row r="671" spans="1:13" s="43" customFormat="1" ht="12.75" hidden="1" x14ac:dyDescent="0.2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7"/>
      <c r="L671" s="54"/>
      <c r="M671" s="54"/>
    </row>
    <row r="672" spans="1:13" s="43" customFormat="1" ht="12.75" hidden="1" x14ac:dyDescent="0.2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7"/>
      <c r="L672" s="54"/>
      <c r="M672" s="54"/>
    </row>
    <row r="673" spans="1:13" s="43" customFormat="1" ht="12.75" hidden="1" x14ac:dyDescent="0.2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7"/>
      <c r="L673" s="54"/>
      <c r="M673" s="54"/>
    </row>
    <row r="674" spans="1:13" s="43" customFormat="1" ht="12.75" hidden="1" x14ac:dyDescent="0.2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7"/>
      <c r="L674" s="54"/>
      <c r="M674" s="54"/>
    </row>
    <row r="675" spans="1:13" s="43" customFormat="1" ht="12.75" hidden="1" x14ac:dyDescent="0.2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7"/>
      <c r="L675" s="54"/>
      <c r="M675" s="54"/>
    </row>
    <row r="676" spans="1:13" s="43" customFormat="1" ht="12.75" hidden="1" x14ac:dyDescent="0.2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7"/>
      <c r="L676" s="54"/>
      <c r="M676" s="54"/>
    </row>
    <row r="677" spans="1:13" s="43" customFormat="1" ht="12.75" hidden="1" x14ac:dyDescent="0.2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7"/>
      <c r="L677" s="54"/>
      <c r="M677" s="54"/>
    </row>
    <row r="678" spans="1:13" s="43" customFormat="1" ht="12.75" hidden="1" x14ac:dyDescent="0.2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7"/>
      <c r="L678" s="54"/>
      <c r="M678" s="54"/>
    </row>
    <row r="679" spans="1:13" s="43" customFormat="1" ht="12.75" hidden="1" x14ac:dyDescent="0.2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7"/>
      <c r="L679" s="54"/>
      <c r="M679" s="54"/>
    </row>
    <row r="680" spans="1:13" s="43" customFormat="1" ht="12.75" hidden="1" x14ac:dyDescent="0.2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7"/>
      <c r="L680" s="54"/>
      <c r="M680" s="54"/>
    </row>
    <row r="681" spans="1:13" s="43" customFormat="1" ht="12.75" hidden="1" x14ac:dyDescent="0.2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7"/>
      <c r="L681" s="54"/>
      <c r="M681" s="54"/>
    </row>
    <row r="682" spans="1:13" s="43" customFormat="1" ht="12.75" hidden="1" x14ac:dyDescent="0.2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7"/>
      <c r="L682" s="54"/>
      <c r="M682" s="54"/>
    </row>
    <row r="683" spans="1:13" s="43" customFormat="1" ht="12.75" hidden="1" x14ac:dyDescent="0.2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7"/>
      <c r="L683" s="54"/>
      <c r="M683" s="54"/>
    </row>
    <row r="684" spans="1:13" s="43" customFormat="1" ht="12.75" hidden="1" x14ac:dyDescent="0.2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7"/>
      <c r="L684" s="54"/>
      <c r="M684" s="54"/>
    </row>
    <row r="685" spans="1:13" s="43" customFormat="1" ht="12.75" hidden="1" x14ac:dyDescent="0.2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7"/>
      <c r="L685" s="54"/>
      <c r="M685" s="54"/>
    </row>
    <row r="686" spans="1:13" s="43" customFormat="1" ht="12.75" hidden="1" x14ac:dyDescent="0.2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7"/>
      <c r="L686" s="54"/>
      <c r="M686" s="54"/>
    </row>
    <row r="687" spans="1:13" s="43" customFormat="1" ht="12.75" hidden="1" x14ac:dyDescent="0.2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7"/>
      <c r="L687" s="54"/>
      <c r="M687" s="54"/>
    </row>
    <row r="688" spans="1:13" s="43" customFormat="1" ht="12.75" hidden="1" x14ac:dyDescent="0.2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7"/>
      <c r="L688" s="54"/>
      <c r="M688" s="54"/>
    </row>
    <row r="689" spans="1:13" s="43" customFormat="1" ht="12.75" hidden="1" x14ac:dyDescent="0.2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7"/>
      <c r="L689" s="54"/>
      <c r="M689" s="54"/>
    </row>
    <row r="690" spans="1:13" s="43" customFormat="1" ht="12.75" hidden="1" x14ac:dyDescent="0.2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7"/>
      <c r="L690" s="54"/>
      <c r="M690" s="54"/>
    </row>
    <row r="691" spans="1:13" s="43" customFormat="1" ht="12.75" hidden="1" x14ac:dyDescent="0.2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7"/>
      <c r="L691" s="54"/>
      <c r="M691" s="54"/>
    </row>
    <row r="692" spans="1:13" s="43" customFormat="1" ht="12.75" hidden="1" x14ac:dyDescent="0.2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7"/>
      <c r="L692" s="54"/>
      <c r="M692" s="54"/>
    </row>
    <row r="693" spans="1:13" s="43" customFormat="1" ht="12.75" hidden="1" x14ac:dyDescent="0.2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7"/>
      <c r="L693" s="54"/>
      <c r="M693" s="54"/>
    </row>
    <row r="694" spans="1:13" s="43" customFormat="1" ht="12.75" hidden="1" x14ac:dyDescent="0.2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7"/>
      <c r="L694" s="54"/>
      <c r="M694" s="54"/>
    </row>
    <row r="695" spans="1:13" s="43" customFormat="1" ht="12.75" hidden="1" x14ac:dyDescent="0.2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7"/>
      <c r="L695" s="54"/>
      <c r="M695" s="54"/>
    </row>
    <row r="696" spans="1:13" s="43" customFormat="1" ht="12.75" hidden="1" x14ac:dyDescent="0.2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7"/>
      <c r="L696" s="54"/>
      <c r="M696" s="54"/>
    </row>
    <row r="697" spans="1:13" s="43" customFormat="1" ht="12.75" hidden="1" x14ac:dyDescent="0.2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7"/>
      <c r="L697" s="54"/>
      <c r="M697" s="54"/>
    </row>
    <row r="698" spans="1:13" s="43" customFormat="1" ht="12.75" hidden="1" x14ac:dyDescent="0.2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7"/>
      <c r="L698" s="54"/>
      <c r="M698" s="54"/>
    </row>
    <row r="699" spans="1:13" s="43" customFormat="1" ht="12.75" hidden="1" x14ac:dyDescent="0.2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7"/>
      <c r="L699" s="54"/>
      <c r="M699" s="54"/>
    </row>
    <row r="700" spans="1:13" s="43" customFormat="1" ht="12.75" hidden="1" x14ac:dyDescent="0.2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7"/>
      <c r="L700" s="54"/>
      <c r="M700" s="54"/>
    </row>
    <row r="701" spans="1:13" s="43" customFormat="1" ht="12.75" hidden="1" x14ac:dyDescent="0.2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7"/>
      <c r="L701" s="54"/>
      <c r="M701" s="54"/>
    </row>
    <row r="702" spans="1:13" s="43" customFormat="1" ht="12.75" hidden="1" x14ac:dyDescent="0.2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7"/>
      <c r="L702" s="54"/>
      <c r="M702" s="54"/>
    </row>
    <row r="703" spans="1:13" s="43" customFormat="1" ht="12.75" hidden="1" x14ac:dyDescent="0.2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7"/>
      <c r="L703" s="54"/>
      <c r="M703" s="54"/>
    </row>
    <row r="704" spans="1:13" s="43" customFormat="1" ht="12.75" hidden="1" x14ac:dyDescent="0.2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7"/>
      <c r="L704" s="54"/>
      <c r="M704" s="54"/>
    </row>
    <row r="705" spans="1:13" s="43" customFormat="1" ht="12.75" hidden="1" x14ac:dyDescent="0.2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7"/>
      <c r="L705" s="54"/>
      <c r="M705" s="54"/>
    </row>
    <row r="706" spans="1:13" s="43" customFormat="1" ht="12.75" hidden="1" x14ac:dyDescent="0.2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7"/>
      <c r="L706" s="54"/>
      <c r="M706" s="54"/>
    </row>
    <row r="707" spans="1:13" s="43" customFormat="1" ht="12.75" hidden="1" x14ac:dyDescent="0.2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7"/>
      <c r="L707" s="54"/>
      <c r="M707" s="54"/>
    </row>
    <row r="708" spans="1:13" s="43" customFormat="1" ht="12.75" hidden="1" x14ac:dyDescent="0.2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7"/>
      <c r="L708" s="54"/>
      <c r="M708" s="54"/>
    </row>
    <row r="709" spans="1:13" s="43" customFormat="1" ht="12.75" hidden="1" x14ac:dyDescent="0.2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7"/>
      <c r="L709" s="54"/>
      <c r="M709" s="54"/>
    </row>
    <row r="710" spans="1:13" s="43" customFormat="1" ht="12.75" hidden="1" x14ac:dyDescent="0.2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7"/>
      <c r="L710" s="54"/>
      <c r="M710" s="54"/>
    </row>
    <row r="711" spans="1:13" s="43" customFormat="1" ht="12.75" hidden="1" x14ac:dyDescent="0.2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7"/>
      <c r="L711" s="54"/>
      <c r="M711" s="54"/>
    </row>
    <row r="712" spans="1:13" s="43" customFormat="1" ht="12.75" hidden="1" x14ac:dyDescent="0.2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7"/>
      <c r="L712" s="54"/>
      <c r="M712" s="54"/>
    </row>
    <row r="713" spans="1:13" s="43" customFormat="1" ht="12.75" hidden="1" x14ac:dyDescent="0.2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7"/>
      <c r="L713" s="54"/>
      <c r="M713" s="54"/>
    </row>
    <row r="714" spans="1:13" s="43" customFormat="1" ht="12.75" hidden="1" x14ac:dyDescent="0.2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7"/>
      <c r="L714" s="54"/>
      <c r="M714" s="54"/>
    </row>
    <row r="715" spans="1:13" s="43" customFormat="1" ht="12.75" hidden="1" x14ac:dyDescent="0.2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7"/>
      <c r="L715" s="54"/>
      <c r="M715" s="54"/>
    </row>
    <row r="716" spans="1:13" s="43" customFormat="1" ht="12.75" hidden="1" x14ac:dyDescent="0.2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7"/>
      <c r="L716" s="54"/>
      <c r="M716" s="54"/>
    </row>
    <row r="717" spans="1:13" s="43" customFormat="1" ht="12.75" hidden="1" x14ac:dyDescent="0.2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7"/>
      <c r="L717" s="54"/>
      <c r="M717" s="54"/>
    </row>
    <row r="718" spans="1:13" s="43" customFormat="1" ht="12.75" hidden="1" x14ac:dyDescent="0.2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7"/>
      <c r="L718" s="54"/>
      <c r="M718" s="54"/>
    </row>
    <row r="719" spans="1:13" s="43" customFormat="1" ht="12.75" hidden="1" x14ac:dyDescent="0.2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7"/>
      <c r="L719" s="54"/>
      <c r="M719" s="54"/>
    </row>
    <row r="720" spans="1:13" s="43" customFormat="1" ht="12.75" hidden="1" x14ac:dyDescent="0.2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7"/>
      <c r="L720" s="54"/>
      <c r="M720" s="54"/>
    </row>
    <row r="721" spans="1:13" s="43" customFormat="1" ht="12.75" hidden="1" x14ac:dyDescent="0.2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7"/>
      <c r="L721" s="54"/>
      <c r="M721" s="54"/>
    </row>
    <row r="722" spans="1:13" s="43" customFormat="1" ht="12.75" hidden="1" x14ac:dyDescent="0.2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7"/>
      <c r="L722" s="54"/>
      <c r="M722" s="54"/>
    </row>
    <row r="723" spans="1:13" s="43" customFormat="1" ht="12.75" hidden="1" x14ac:dyDescent="0.2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7"/>
      <c r="L723" s="54"/>
      <c r="M723" s="54"/>
    </row>
    <row r="724" spans="1:13" s="43" customFormat="1" ht="12.75" hidden="1" x14ac:dyDescent="0.2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7"/>
      <c r="L724" s="54"/>
      <c r="M724" s="54"/>
    </row>
    <row r="725" spans="1:13" s="43" customFormat="1" ht="12.75" hidden="1" x14ac:dyDescent="0.2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7"/>
      <c r="L725" s="54"/>
      <c r="M725" s="54"/>
    </row>
    <row r="726" spans="1:13" s="43" customFormat="1" ht="12.75" hidden="1" x14ac:dyDescent="0.2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7"/>
      <c r="L726" s="54"/>
      <c r="M726" s="54"/>
    </row>
    <row r="727" spans="1:13" s="43" customFormat="1" ht="12.75" hidden="1" x14ac:dyDescent="0.2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7"/>
      <c r="L727" s="54"/>
      <c r="M727" s="54"/>
    </row>
    <row r="728" spans="1:13" s="43" customFormat="1" ht="12.75" hidden="1" x14ac:dyDescent="0.2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7"/>
      <c r="L728" s="54"/>
      <c r="M728" s="54"/>
    </row>
    <row r="729" spans="1:13" s="43" customFormat="1" ht="12.75" hidden="1" x14ac:dyDescent="0.2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7"/>
      <c r="L729" s="54"/>
      <c r="M729" s="54"/>
    </row>
    <row r="730" spans="1:13" s="43" customFormat="1" ht="12.75" hidden="1" x14ac:dyDescent="0.2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7"/>
      <c r="L730" s="54"/>
      <c r="M730" s="54"/>
    </row>
    <row r="731" spans="1:13" s="43" customFormat="1" ht="12.75" hidden="1" x14ac:dyDescent="0.2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7"/>
      <c r="L731" s="54"/>
      <c r="M731" s="54"/>
    </row>
    <row r="732" spans="1:13" s="43" customFormat="1" ht="12.75" hidden="1" x14ac:dyDescent="0.2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7"/>
      <c r="L732" s="54"/>
      <c r="M732" s="54"/>
    </row>
    <row r="733" spans="1:13" s="43" customFormat="1" ht="12.75" hidden="1" x14ac:dyDescent="0.2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7"/>
      <c r="L733" s="54"/>
      <c r="M733" s="54"/>
    </row>
    <row r="734" spans="1:13" s="43" customFormat="1" ht="12.75" hidden="1" x14ac:dyDescent="0.2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7"/>
      <c r="L734" s="54"/>
      <c r="M734" s="54"/>
    </row>
    <row r="735" spans="1:13" s="43" customFormat="1" ht="12.75" hidden="1" x14ac:dyDescent="0.2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7"/>
      <c r="L735" s="54"/>
      <c r="M735" s="54"/>
    </row>
    <row r="736" spans="1:13" s="43" customFormat="1" ht="12.75" hidden="1" x14ac:dyDescent="0.2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7"/>
      <c r="L736" s="54"/>
      <c r="M736" s="54"/>
    </row>
    <row r="737" spans="1:13" s="43" customFormat="1" ht="12.75" hidden="1" x14ac:dyDescent="0.2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7"/>
      <c r="L737" s="54"/>
      <c r="M737" s="54"/>
    </row>
    <row r="738" spans="1:13" s="43" customFormat="1" ht="12.75" hidden="1" x14ac:dyDescent="0.2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7"/>
      <c r="L738" s="54"/>
      <c r="M738" s="54"/>
    </row>
    <row r="739" spans="1:13" s="43" customFormat="1" ht="12.75" hidden="1" x14ac:dyDescent="0.2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7"/>
      <c r="L739" s="54"/>
      <c r="M739" s="54"/>
    </row>
    <row r="740" spans="1:13" s="43" customFormat="1" ht="12.75" hidden="1" x14ac:dyDescent="0.2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7"/>
      <c r="L740" s="54"/>
      <c r="M740" s="54"/>
    </row>
    <row r="741" spans="1:13" s="43" customFormat="1" ht="12.75" hidden="1" x14ac:dyDescent="0.2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7"/>
      <c r="L741" s="54"/>
      <c r="M741" s="54"/>
    </row>
    <row r="742" spans="1:13" s="43" customFormat="1" ht="12.75" hidden="1" x14ac:dyDescent="0.2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7"/>
      <c r="L742" s="54"/>
      <c r="M742" s="54"/>
    </row>
    <row r="743" spans="1:13" s="43" customFormat="1" ht="12.75" hidden="1" x14ac:dyDescent="0.2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7"/>
      <c r="L743" s="54"/>
      <c r="M743" s="54"/>
    </row>
    <row r="744" spans="1:13" s="43" customFormat="1" ht="12.75" hidden="1" x14ac:dyDescent="0.2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7"/>
      <c r="L744" s="54"/>
      <c r="M744" s="54"/>
    </row>
    <row r="745" spans="1:13" s="43" customFormat="1" ht="12.75" hidden="1" x14ac:dyDescent="0.2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7"/>
      <c r="L745" s="54"/>
      <c r="M745" s="54"/>
    </row>
    <row r="746" spans="1:13" s="43" customFormat="1" ht="12.75" hidden="1" x14ac:dyDescent="0.2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7"/>
      <c r="L746" s="54"/>
      <c r="M746" s="54"/>
    </row>
    <row r="747" spans="1:13" s="43" customFormat="1" ht="12.75" hidden="1" x14ac:dyDescent="0.2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7"/>
      <c r="L747" s="54"/>
      <c r="M747" s="54"/>
    </row>
    <row r="748" spans="1:13" s="43" customFormat="1" ht="12.75" hidden="1" x14ac:dyDescent="0.2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7"/>
      <c r="L748" s="54"/>
      <c r="M748" s="54"/>
    </row>
    <row r="749" spans="1:13" s="43" customFormat="1" ht="12.75" hidden="1" x14ac:dyDescent="0.2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7"/>
      <c r="L749" s="54"/>
      <c r="M749" s="54"/>
    </row>
    <row r="750" spans="1:13" s="43" customFormat="1" ht="12.75" hidden="1" x14ac:dyDescent="0.2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7"/>
      <c r="L750" s="54"/>
      <c r="M750" s="54"/>
    </row>
    <row r="751" spans="1:13" s="43" customFormat="1" ht="12.75" hidden="1" x14ac:dyDescent="0.2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7"/>
      <c r="L751" s="54"/>
      <c r="M751" s="54"/>
    </row>
    <row r="752" spans="1:13" s="43" customFormat="1" ht="12.75" hidden="1" x14ac:dyDescent="0.2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7"/>
      <c r="L752" s="54"/>
      <c r="M752" s="54"/>
    </row>
    <row r="753" spans="1:13" s="43" customFormat="1" ht="12.75" hidden="1" x14ac:dyDescent="0.2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7"/>
      <c r="L753" s="54"/>
      <c r="M753" s="54"/>
    </row>
    <row r="754" spans="1:13" s="43" customFormat="1" ht="12.75" hidden="1" x14ac:dyDescent="0.2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7"/>
      <c r="L754" s="54"/>
      <c r="M754" s="54"/>
    </row>
    <row r="755" spans="1:13" s="43" customFormat="1" ht="12.75" hidden="1" x14ac:dyDescent="0.2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7"/>
      <c r="L755" s="54"/>
      <c r="M755" s="54"/>
    </row>
    <row r="756" spans="1:13" s="43" customFormat="1" ht="12.75" hidden="1" x14ac:dyDescent="0.2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7"/>
      <c r="L756" s="54"/>
      <c r="M756" s="54"/>
    </row>
    <row r="757" spans="1:13" s="43" customFormat="1" ht="12.75" hidden="1" x14ac:dyDescent="0.2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7"/>
      <c r="L757" s="54"/>
      <c r="M757" s="54"/>
    </row>
    <row r="758" spans="1:13" s="43" customFormat="1" ht="12.75" hidden="1" x14ac:dyDescent="0.2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7"/>
      <c r="L758" s="54"/>
      <c r="M758" s="54"/>
    </row>
    <row r="759" spans="1:13" s="43" customFormat="1" ht="12.75" hidden="1" x14ac:dyDescent="0.2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7"/>
      <c r="L759" s="54"/>
      <c r="M759" s="54"/>
    </row>
    <row r="760" spans="1:13" s="43" customFormat="1" ht="12.75" hidden="1" x14ac:dyDescent="0.2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7"/>
      <c r="L760" s="54"/>
      <c r="M760" s="54"/>
    </row>
    <row r="761" spans="1:13" s="43" customFormat="1" ht="12.75" hidden="1" x14ac:dyDescent="0.2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7"/>
      <c r="L761" s="54"/>
      <c r="M761" s="54"/>
    </row>
    <row r="762" spans="1:13" s="43" customFormat="1" ht="12.75" hidden="1" x14ac:dyDescent="0.2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7"/>
      <c r="L762" s="54"/>
      <c r="M762" s="54"/>
    </row>
    <row r="763" spans="1:13" s="43" customFormat="1" ht="12.75" hidden="1" x14ac:dyDescent="0.2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7"/>
      <c r="L763" s="54"/>
      <c r="M763" s="54"/>
    </row>
    <row r="764" spans="1:13" s="43" customFormat="1" ht="12.75" hidden="1" x14ac:dyDescent="0.2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7"/>
      <c r="L764" s="54"/>
      <c r="M764" s="54"/>
    </row>
    <row r="765" spans="1:13" s="43" customFormat="1" ht="12.75" hidden="1" x14ac:dyDescent="0.2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7"/>
      <c r="L765" s="54"/>
      <c r="M765" s="54"/>
    </row>
    <row r="766" spans="1:13" s="43" customFormat="1" ht="12.75" hidden="1" x14ac:dyDescent="0.2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7"/>
      <c r="L766" s="54"/>
      <c r="M766" s="54"/>
    </row>
    <row r="767" spans="1:13" s="43" customFormat="1" ht="12.75" hidden="1" x14ac:dyDescent="0.2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7"/>
      <c r="L767" s="54"/>
      <c r="M767" s="54"/>
    </row>
    <row r="768" spans="1:13" s="43" customFormat="1" ht="12.75" hidden="1" x14ac:dyDescent="0.2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7"/>
      <c r="L768" s="54"/>
      <c r="M768" s="54"/>
    </row>
    <row r="769" spans="1:13" s="43" customFormat="1" ht="12.75" hidden="1" x14ac:dyDescent="0.2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7"/>
      <c r="L769" s="54"/>
      <c r="M769" s="54"/>
    </row>
    <row r="770" spans="1:13" s="43" customFormat="1" ht="12.75" hidden="1" x14ac:dyDescent="0.2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7"/>
      <c r="L770" s="54"/>
      <c r="M770" s="54"/>
    </row>
    <row r="771" spans="1:13" s="43" customFormat="1" ht="12.75" hidden="1" x14ac:dyDescent="0.2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7"/>
      <c r="L771" s="54"/>
      <c r="M771" s="54"/>
    </row>
    <row r="772" spans="1:13" s="43" customFormat="1" ht="12.75" hidden="1" x14ac:dyDescent="0.2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7"/>
      <c r="L772" s="54"/>
      <c r="M772" s="54"/>
    </row>
    <row r="773" spans="1:13" s="43" customFormat="1" ht="12.75" hidden="1" x14ac:dyDescent="0.2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7"/>
      <c r="L773" s="54"/>
      <c r="M773" s="54"/>
    </row>
    <row r="774" spans="1:13" s="43" customFormat="1" ht="12.75" hidden="1" x14ac:dyDescent="0.2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7"/>
      <c r="L774" s="54"/>
      <c r="M774" s="54"/>
    </row>
    <row r="775" spans="1:13" s="43" customFormat="1" ht="12.75" hidden="1" x14ac:dyDescent="0.2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7"/>
      <c r="L775" s="54"/>
      <c r="M775" s="54"/>
    </row>
    <row r="776" spans="1:13" s="43" customFormat="1" ht="12.75" hidden="1" x14ac:dyDescent="0.2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7"/>
      <c r="L776" s="54"/>
      <c r="M776" s="54"/>
    </row>
    <row r="777" spans="1:13" s="43" customFormat="1" ht="12.75" hidden="1" x14ac:dyDescent="0.2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7"/>
      <c r="L777" s="54"/>
      <c r="M777" s="54"/>
    </row>
    <row r="778" spans="1:13" s="43" customFormat="1" ht="12.75" hidden="1" x14ac:dyDescent="0.2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7"/>
      <c r="L778" s="54"/>
      <c r="M778" s="54"/>
    </row>
    <row r="779" spans="1:13" s="43" customFormat="1" ht="12.75" hidden="1" x14ac:dyDescent="0.2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7"/>
      <c r="L779" s="54"/>
      <c r="M779" s="54"/>
    </row>
    <row r="780" spans="1:13" s="43" customFormat="1" ht="12.75" hidden="1" x14ac:dyDescent="0.2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7"/>
      <c r="L780" s="54"/>
      <c r="M780" s="54"/>
    </row>
    <row r="781" spans="1:13" s="43" customFormat="1" ht="12.75" hidden="1" x14ac:dyDescent="0.2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7"/>
      <c r="L781" s="54"/>
      <c r="M781" s="54"/>
    </row>
    <row r="782" spans="1:13" s="43" customFormat="1" ht="12.75" hidden="1" x14ac:dyDescent="0.2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7"/>
      <c r="L782" s="54"/>
      <c r="M782" s="54"/>
    </row>
    <row r="783" spans="1:13" s="43" customFormat="1" ht="12.75" hidden="1" x14ac:dyDescent="0.2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7"/>
      <c r="L783" s="54"/>
      <c r="M783" s="54"/>
    </row>
    <row r="784" spans="1:13" s="43" customFormat="1" ht="12.75" hidden="1" x14ac:dyDescent="0.2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7"/>
      <c r="L784" s="54"/>
      <c r="M784" s="54"/>
    </row>
    <row r="785" spans="1:13" s="43" customFormat="1" ht="12.75" hidden="1" x14ac:dyDescent="0.2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7"/>
      <c r="L785" s="54"/>
      <c r="M785" s="54"/>
    </row>
    <row r="786" spans="1:13" ht="12.75" hidden="1" x14ac:dyDescent="0.2">
      <c r="B786" s="54"/>
      <c r="C786" s="54"/>
      <c r="D786" s="54"/>
      <c r="E786" s="54"/>
      <c r="F786" s="54"/>
      <c r="G786" s="54"/>
      <c r="H786" s="54"/>
      <c r="I786" s="54"/>
      <c r="J786" s="54"/>
      <c r="K786" s="57"/>
    </row>
    <row r="787" spans="1:13" ht="12.75" hidden="1" x14ac:dyDescent="0.2">
      <c r="B787" s="54"/>
      <c r="C787" s="54"/>
      <c r="D787" s="54"/>
      <c r="E787" s="54"/>
      <c r="F787" s="54"/>
      <c r="G787" s="54"/>
      <c r="H787" s="54"/>
      <c r="I787" s="54"/>
      <c r="J787" s="54"/>
      <c r="K787" s="57"/>
    </row>
    <row r="788" spans="1:13" ht="12.75" hidden="1" x14ac:dyDescent="0.2">
      <c r="B788" s="54"/>
      <c r="C788" s="54"/>
      <c r="D788" s="54"/>
      <c r="E788" s="54"/>
      <c r="F788" s="54"/>
      <c r="G788" s="54"/>
      <c r="H788" s="54"/>
      <c r="I788" s="54"/>
      <c r="J788" s="54"/>
      <c r="K788" s="57"/>
    </row>
    <row r="789" spans="1:13" ht="12.75" hidden="1" x14ac:dyDescent="0.2">
      <c r="B789" s="54"/>
      <c r="C789" s="54"/>
      <c r="D789" s="54"/>
      <c r="E789" s="54"/>
      <c r="F789" s="54"/>
      <c r="G789" s="54"/>
      <c r="H789" s="54"/>
      <c r="I789" s="54"/>
      <c r="J789" s="54"/>
      <c r="K789" s="57"/>
    </row>
    <row r="790" spans="1:13" ht="12.75" hidden="1" x14ac:dyDescent="0.2">
      <c r="B790" s="54"/>
      <c r="C790" s="54"/>
      <c r="D790" s="54"/>
      <c r="E790" s="54"/>
      <c r="F790" s="54"/>
      <c r="G790" s="54"/>
      <c r="H790" s="54"/>
      <c r="I790" s="54"/>
      <c r="J790" s="54"/>
      <c r="K790" s="57"/>
    </row>
    <row r="791" spans="1:13" ht="12.75" hidden="1" x14ac:dyDescent="0.2">
      <c r="B791" s="54"/>
      <c r="C791" s="54"/>
      <c r="D791" s="54"/>
      <c r="E791" s="54"/>
      <c r="F791" s="54"/>
      <c r="G791" s="54"/>
      <c r="H791" s="54"/>
      <c r="I791" s="54"/>
      <c r="J791" s="54"/>
      <c r="K791" s="57"/>
    </row>
    <row r="792" spans="1:13" ht="12.75" hidden="1" x14ac:dyDescent="0.2">
      <c r="B792" s="54"/>
      <c r="C792" s="54"/>
      <c r="D792" s="54"/>
      <c r="E792" s="54"/>
      <c r="F792" s="54"/>
      <c r="G792" s="54"/>
      <c r="H792" s="54"/>
      <c r="I792" s="54"/>
      <c r="J792" s="54"/>
      <c r="K792" s="57"/>
    </row>
    <row r="793" spans="1:13" ht="12.75" hidden="1" x14ac:dyDescent="0.2">
      <c r="B793" s="54"/>
      <c r="C793" s="54"/>
      <c r="D793" s="54"/>
      <c r="E793" s="54"/>
      <c r="F793" s="54"/>
      <c r="G793" s="54"/>
      <c r="H793" s="54"/>
      <c r="I793" s="54"/>
      <c r="J793" s="54"/>
      <c r="K793" s="57"/>
    </row>
    <row r="794" spans="1:13" ht="12.75" hidden="1" x14ac:dyDescent="0.2">
      <c r="B794" s="54"/>
      <c r="C794" s="54"/>
      <c r="D794" s="54"/>
      <c r="E794" s="54"/>
      <c r="F794" s="54"/>
      <c r="G794" s="54"/>
      <c r="H794" s="54"/>
      <c r="I794" s="54"/>
      <c r="J794" s="54"/>
      <c r="K794" s="57"/>
    </row>
    <row r="795" spans="1:13" ht="12.75" hidden="1" x14ac:dyDescent="0.2">
      <c r="B795" s="54"/>
      <c r="C795" s="54"/>
      <c r="D795" s="54"/>
      <c r="E795" s="54"/>
      <c r="F795" s="54"/>
      <c r="G795" s="54"/>
      <c r="H795" s="54"/>
      <c r="I795" s="54"/>
      <c r="J795" s="54"/>
      <c r="K795" s="57"/>
    </row>
    <row r="796" spans="1:13" ht="12.75" hidden="1" x14ac:dyDescent="0.2">
      <c r="B796" s="54"/>
      <c r="C796" s="54"/>
      <c r="D796" s="54"/>
      <c r="E796" s="54"/>
      <c r="F796" s="54"/>
      <c r="G796" s="54"/>
      <c r="H796" s="54"/>
      <c r="I796" s="54"/>
      <c r="J796" s="54"/>
      <c r="K796" s="57"/>
    </row>
    <row r="797" spans="1:13" ht="12.75" hidden="1" x14ac:dyDescent="0.2">
      <c r="B797" s="54"/>
      <c r="C797" s="54"/>
      <c r="D797" s="54"/>
      <c r="E797" s="54"/>
      <c r="F797" s="54"/>
      <c r="G797" s="54"/>
      <c r="H797" s="54"/>
      <c r="I797" s="54"/>
      <c r="J797" s="54"/>
      <c r="K797" s="57"/>
    </row>
    <row r="798" spans="1:13" ht="12.75" hidden="1" x14ac:dyDescent="0.2">
      <c r="B798" s="54"/>
      <c r="C798" s="54"/>
      <c r="D798" s="54"/>
      <c r="E798" s="54"/>
      <c r="F798" s="54"/>
      <c r="G798" s="54"/>
      <c r="H798" s="54"/>
      <c r="I798" s="54"/>
      <c r="J798" s="54"/>
      <c r="K798" s="57"/>
    </row>
    <row r="799" spans="1:13" ht="12.75" hidden="1" x14ac:dyDescent="0.2">
      <c r="B799" s="54"/>
      <c r="C799" s="54"/>
      <c r="D799" s="54"/>
      <c r="E799" s="54"/>
      <c r="F799" s="54"/>
      <c r="G799" s="54"/>
      <c r="H799" s="54"/>
      <c r="I799" s="54"/>
      <c r="J799" s="54"/>
      <c r="K799" s="57"/>
    </row>
    <row r="800" spans="1:13" ht="12.75" hidden="1" x14ac:dyDescent="0.2">
      <c r="B800" s="54"/>
      <c r="C800" s="54"/>
      <c r="D800" s="54"/>
      <c r="E800" s="54"/>
      <c r="F800" s="54"/>
      <c r="G800" s="54"/>
      <c r="H800" s="54"/>
      <c r="I800" s="54"/>
      <c r="J800" s="54"/>
      <c r="K800" s="57"/>
    </row>
    <row r="801" spans="2:11" ht="12.75" hidden="1" x14ac:dyDescent="0.2">
      <c r="B801" s="54"/>
      <c r="C801" s="54"/>
      <c r="D801" s="54"/>
      <c r="E801" s="54"/>
      <c r="F801" s="54"/>
      <c r="G801" s="54"/>
      <c r="H801" s="54"/>
      <c r="I801" s="54"/>
      <c r="J801" s="54"/>
      <c r="K801" s="57"/>
    </row>
    <row r="802" spans="2:11" ht="12.75" hidden="1" x14ac:dyDescent="0.2">
      <c r="B802" s="54"/>
      <c r="C802" s="54"/>
      <c r="D802" s="54"/>
      <c r="E802" s="54"/>
      <c r="F802" s="54"/>
      <c r="G802" s="54"/>
      <c r="H802" s="54"/>
      <c r="I802" s="54"/>
      <c r="J802" s="54"/>
      <c r="K802" s="57"/>
    </row>
    <row r="803" spans="2:11" ht="12.75" hidden="1" x14ac:dyDescent="0.2">
      <c r="B803" s="54"/>
      <c r="C803" s="54"/>
      <c r="D803" s="54"/>
      <c r="E803" s="54"/>
      <c r="F803" s="54"/>
      <c r="G803" s="54"/>
      <c r="H803" s="54"/>
      <c r="I803" s="54"/>
      <c r="J803" s="54"/>
      <c r="K803" s="57"/>
    </row>
    <row r="804" spans="2:11" ht="12.75" hidden="1" x14ac:dyDescent="0.2">
      <c r="B804" s="54"/>
      <c r="C804" s="54"/>
      <c r="D804" s="54"/>
      <c r="E804" s="54"/>
      <c r="F804" s="54"/>
      <c r="G804" s="54"/>
      <c r="H804" s="54"/>
      <c r="I804" s="54"/>
      <c r="J804" s="54"/>
      <c r="K804" s="57"/>
    </row>
    <row r="805" spans="2:11" ht="12.75" hidden="1" x14ac:dyDescent="0.2">
      <c r="B805" s="54"/>
      <c r="C805" s="54"/>
      <c r="D805" s="54"/>
      <c r="E805" s="54"/>
      <c r="F805" s="54"/>
      <c r="G805" s="54"/>
      <c r="H805" s="54"/>
      <c r="I805" s="54"/>
      <c r="J805" s="54"/>
      <c r="K805" s="57"/>
    </row>
    <row r="806" spans="2:11" ht="12.75" hidden="1" x14ac:dyDescent="0.2">
      <c r="B806" s="54"/>
      <c r="C806" s="54"/>
      <c r="D806" s="54"/>
      <c r="E806" s="54"/>
      <c r="F806" s="54"/>
      <c r="G806" s="54"/>
      <c r="H806" s="54"/>
      <c r="I806" s="54"/>
      <c r="J806" s="54"/>
      <c r="K806" s="57"/>
    </row>
    <row r="807" spans="2:11" ht="12.75" hidden="1" x14ac:dyDescent="0.2">
      <c r="B807" s="54"/>
      <c r="C807" s="54"/>
      <c r="D807" s="54"/>
      <c r="E807" s="54"/>
      <c r="F807" s="54"/>
      <c r="G807" s="54"/>
      <c r="H807" s="54"/>
      <c r="I807" s="54"/>
      <c r="J807" s="54"/>
      <c r="K807" s="57"/>
    </row>
    <row r="808" spans="2:11" ht="12.75" hidden="1" x14ac:dyDescent="0.2">
      <c r="B808" s="54"/>
      <c r="C808" s="54"/>
      <c r="D808" s="54"/>
      <c r="E808" s="54"/>
      <c r="F808" s="54"/>
      <c r="G808" s="54"/>
      <c r="H808" s="54"/>
      <c r="I808" s="54"/>
      <c r="J808" s="54"/>
      <c r="K808" s="57"/>
    </row>
    <row r="809" spans="2:11" ht="12.75" hidden="1" x14ac:dyDescent="0.2">
      <c r="B809" s="54"/>
      <c r="C809" s="54"/>
      <c r="D809" s="54"/>
      <c r="E809" s="54"/>
      <c r="F809" s="54"/>
      <c r="G809" s="54"/>
      <c r="H809" s="54"/>
      <c r="I809" s="54"/>
      <c r="J809" s="54"/>
      <c r="K809" s="57"/>
    </row>
    <row r="810" spans="2:11" ht="12.75" hidden="1" x14ac:dyDescent="0.2">
      <c r="B810" s="54"/>
      <c r="C810" s="54"/>
      <c r="D810" s="54"/>
      <c r="E810" s="54"/>
      <c r="F810" s="54"/>
      <c r="G810" s="54"/>
      <c r="H810" s="54"/>
      <c r="I810" s="54"/>
      <c r="J810" s="54"/>
      <c r="K810" s="57"/>
    </row>
    <row r="811" spans="2:11" ht="12.75" hidden="1" x14ac:dyDescent="0.2">
      <c r="B811" s="54"/>
      <c r="C811" s="54"/>
      <c r="D811" s="54"/>
      <c r="E811" s="54"/>
      <c r="F811" s="54"/>
      <c r="G811" s="54"/>
      <c r="H811" s="54"/>
      <c r="I811" s="54"/>
      <c r="J811" s="54"/>
      <c r="K811" s="57"/>
    </row>
    <row r="812" spans="2:11" ht="12.75" hidden="1" x14ac:dyDescent="0.2">
      <c r="B812" s="54"/>
      <c r="C812" s="54"/>
      <c r="D812" s="54"/>
      <c r="E812" s="54"/>
      <c r="F812" s="54"/>
      <c r="G812" s="54"/>
      <c r="H812" s="54"/>
      <c r="I812" s="54"/>
      <c r="J812" s="54"/>
      <c r="K812" s="57"/>
    </row>
    <row r="813" spans="2:11" ht="12.75" hidden="1" x14ac:dyDescent="0.2">
      <c r="B813" s="54"/>
      <c r="C813" s="54"/>
      <c r="D813" s="54"/>
      <c r="E813" s="54"/>
      <c r="F813" s="54"/>
      <c r="G813" s="54"/>
      <c r="H813" s="54"/>
      <c r="I813" s="54"/>
      <c r="J813" s="54"/>
      <c r="K813" s="57"/>
    </row>
    <row r="814" spans="2:11" ht="12.75" hidden="1" x14ac:dyDescent="0.2">
      <c r="B814" s="54"/>
      <c r="C814" s="54"/>
      <c r="D814" s="54"/>
      <c r="E814" s="54"/>
      <c r="F814" s="54"/>
      <c r="G814" s="54"/>
      <c r="H814" s="54"/>
      <c r="I814" s="54"/>
      <c r="J814" s="54"/>
      <c r="K814" s="57"/>
    </row>
    <row r="815" spans="2:11" ht="12.75" hidden="1" x14ac:dyDescent="0.2">
      <c r="B815" s="54"/>
      <c r="C815" s="54"/>
      <c r="D815" s="54"/>
      <c r="E815" s="54"/>
      <c r="F815" s="54"/>
      <c r="G815" s="54"/>
      <c r="H815" s="54"/>
      <c r="I815" s="54"/>
      <c r="J815" s="54"/>
      <c r="K815" s="57"/>
    </row>
    <row r="816" spans="2:11" ht="12.75" hidden="1" x14ac:dyDescent="0.2">
      <c r="B816" s="54"/>
      <c r="C816" s="54"/>
      <c r="D816" s="54"/>
      <c r="E816" s="54"/>
      <c r="F816" s="54"/>
      <c r="G816" s="54"/>
      <c r="H816" s="54"/>
      <c r="I816" s="54"/>
      <c r="J816" s="54"/>
      <c r="K816" s="57"/>
    </row>
    <row r="817" spans="2:11" ht="12.75" hidden="1" x14ac:dyDescent="0.2">
      <c r="B817" s="54"/>
      <c r="C817" s="54"/>
      <c r="D817" s="54"/>
      <c r="E817" s="54"/>
      <c r="F817" s="54"/>
      <c r="G817" s="54"/>
      <c r="H817" s="54"/>
      <c r="I817" s="54"/>
      <c r="J817" s="54"/>
      <c r="K817" s="57"/>
    </row>
    <row r="818" spans="2:11" ht="12.75" hidden="1" x14ac:dyDescent="0.2">
      <c r="B818" s="54"/>
      <c r="C818" s="54"/>
      <c r="D818" s="54"/>
      <c r="E818" s="54"/>
      <c r="F818" s="54"/>
      <c r="G818" s="54"/>
      <c r="H818" s="54"/>
      <c r="I818" s="54"/>
      <c r="J818" s="54"/>
      <c r="K818" s="57"/>
    </row>
    <row r="819" spans="2:11" ht="12.75" hidden="1" x14ac:dyDescent="0.2">
      <c r="B819" s="54"/>
      <c r="C819" s="54"/>
      <c r="D819" s="54"/>
      <c r="E819" s="54"/>
      <c r="F819" s="54"/>
      <c r="G819" s="54"/>
      <c r="H819" s="54"/>
      <c r="I819" s="54"/>
      <c r="J819" s="54"/>
      <c r="K819" s="57"/>
    </row>
  </sheetData>
  <sortState ref="C10:J12">
    <sortCondition descending="1" ref="J10"/>
  </sortState>
  <mergeCells count="3">
    <mergeCell ref="C4:D4"/>
    <mergeCell ref="B27:G29"/>
    <mergeCell ref="F2:J2"/>
  </mergeCells>
  <dataValidations count="1">
    <dataValidation allowBlank="1" showInputMessage="1" showErrorMessage="1" sqref="L28:M31 L67:M70 L106:M109 L145:M148 L184:M187 L223:M226 L262:M265 L301:M304 L340:M343 L379:M382 L418:M421 L457:M460 L496:M499 L535:M538 L574:M577 L613:M616 L652:M655 L691:M694 L730:M733 L769:M772 L808:M811 L847:M850"/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12"/>
  <sheetViews>
    <sheetView workbookViewId="0">
      <selection activeCell="B2" sqref="B2:J10"/>
    </sheetView>
  </sheetViews>
  <sheetFormatPr defaultRowHeight="15" x14ac:dyDescent="0.25"/>
  <cols>
    <col min="1" max="1" width="2.85546875" customWidth="1"/>
    <col min="2" max="2" width="6.85546875" customWidth="1"/>
    <col min="3" max="3" width="0.5703125" customWidth="1"/>
    <col min="4" max="4" width="6.85546875" customWidth="1"/>
    <col min="5" max="5" width="0.5703125" customWidth="1"/>
    <col min="6" max="6" width="6.85546875" customWidth="1"/>
    <col min="7" max="7" width="0.5703125" customWidth="1"/>
    <col min="8" max="8" width="6.85546875" customWidth="1"/>
    <col min="9" max="9" width="0.5703125" customWidth="1"/>
    <col min="10" max="10" width="6.85546875" customWidth="1"/>
    <col min="11" max="11" width="2.85546875" customWidth="1"/>
  </cols>
  <sheetData>
    <row r="2" spans="2:10" ht="36" customHeight="1" x14ac:dyDescent="0.25">
      <c r="B2" s="3"/>
      <c r="C2" s="22"/>
      <c r="D2" s="4"/>
      <c r="E2" s="22"/>
      <c r="F2" s="5"/>
      <c r="G2" s="22"/>
      <c r="H2" s="4"/>
      <c r="I2" s="22"/>
      <c r="J2" s="3"/>
    </row>
    <row r="3" spans="2:10" ht="3.75" customHeight="1" x14ac:dyDescent="0.25">
      <c r="B3" s="22"/>
      <c r="C3" s="22"/>
      <c r="D3" s="22"/>
      <c r="E3" s="22"/>
      <c r="F3" s="22"/>
      <c r="G3" s="22"/>
      <c r="H3" s="22"/>
      <c r="I3" s="22"/>
      <c r="J3" s="22"/>
    </row>
    <row r="4" spans="2:10" ht="36" customHeight="1" x14ac:dyDescent="0.25">
      <c r="B4" s="4"/>
      <c r="C4" s="22"/>
      <c r="D4" s="5"/>
      <c r="E4" s="22"/>
      <c r="F4" s="5"/>
      <c r="G4" s="22"/>
      <c r="H4" s="3"/>
      <c r="I4" s="22"/>
      <c r="J4" s="3"/>
    </row>
    <row r="5" spans="2:10" ht="3.75" customHeight="1" x14ac:dyDescent="0.25">
      <c r="B5" s="22"/>
      <c r="C5" s="22"/>
      <c r="D5" s="22"/>
      <c r="E5" s="22"/>
      <c r="F5" s="22"/>
      <c r="G5" s="22"/>
      <c r="H5" s="22"/>
      <c r="I5" s="22"/>
      <c r="J5" s="22"/>
    </row>
    <row r="6" spans="2:10" ht="36" customHeight="1" x14ac:dyDescent="0.25">
      <c r="B6" s="3"/>
      <c r="C6" s="22"/>
      <c r="D6" s="5"/>
      <c r="E6" s="22"/>
      <c r="F6" s="5"/>
      <c r="G6" s="22"/>
      <c r="H6" s="4"/>
      <c r="I6" s="22"/>
      <c r="J6" s="3"/>
    </row>
    <row r="7" spans="2:10" ht="3.75" customHeight="1" x14ac:dyDescent="0.25">
      <c r="B7" s="22"/>
      <c r="C7" s="22"/>
      <c r="D7" s="22"/>
      <c r="E7" s="22"/>
      <c r="F7" s="22"/>
      <c r="G7" s="22"/>
      <c r="H7" s="22"/>
      <c r="I7" s="22"/>
      <c r="J7" s="22"/>
    </row>
    <row r="8" spans="2:10" ht="36" customHeight="1" x14ac:dyDescent="0.25">
      <c r="B8" s="3"/>
      <c r="C8" s="22"/>
      <c r="D8" s="5"/>
      <c r="E8" s="22"/>
      <c r="F8" s="5"/>
      <c r="G8" s="22"/>
      <c r="H8" s="3"/>
      <c r="I8" s="22"/>
      <c r="J8" s="5"/>
    </row>
    <row r="9" spans="2:10" ht="3.75" customHeight="1" x14ac:dyDescent="0.25">
      <c r="B9" s="22"/>
      <c r="C9" s="22"/>
      <c r="D9" s="22"/>
      <c r="E9" s="22"/>
      <c r="F9" s="22"/>
      <c r="G9" s="22"/>
      <c r="H9" s="22"/>
      <c r="I9" s="22"/>
      <c r="J9" s="22"/>
    </row>
    <row r="10" spans="2:10" ht="36" customHeight="1" x14ac:dyDescent="0.25">
      <c r="B10" s="5"/>
      <c r="C10" s="22"/>
      <c r="D10" s="5"/>
      <c r="E10" s="22"/>
      <c r="F10" s="5"/>
      <c r="G10" s="22"/>
      <c r="H10" s="5"/>
      <c r="I10" s="22"/>
      <c r="J10" s="5"/>
    </row>
    <row r="11" spans="2:10" ht="3.75" customHeight="1" x14ac:dyDescent="0.25"/>
    <row r="12" spans="2:10" ht="36" customHeigh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317"/>
  <sheetViews>
    <sheetView topLeftCell="A2281" zoomScaleNormal="100" workbookViewId="0"/>
  </sheetViews>
  <sheetFormatPr defaultRowHeight="15" x14ac:dyDescent="0.25"/>
  <cols>
    <col min="1" max="1" width="9.42578125" bestFit="1" customWidth="1"/>
    <col min="3" max="3" width="10.28515625" customWidth="1"/>
  </cols>
  <sheetData>
    <row r="1" spans="1:14" x14ac:dyDescent="0.25">
      <c r="A1" s="1" t="s">
        <v>2317</v>
      </c>
      <c r="B1" s="1" t="s">
        <v>2323</v>
      </c>
      <c r="C1" s="1" t="s">
        <v>2341</v>
      </c>
      <c r="E1" s="16" t="s">
        <v>2339</v>
      </c>
      <c r="F1">
        <f>COUNTA(A2:A100001)</f>
        <v>2316</v>
      </c>
      <c r="J1" s="1" t="s">
        <v>2322</v>
      </c>
      <c r="K1" s="1"/>
    </row>
    <row r="2" spans="1:14" x14ac:dyDescent="0.25">
      <c r="A2" s="18" t="s">
        <v>854</v>
      </c>
      <c r="B2">
        <v>8.3284374934944339E-4</v>
      </c>
      <c r="C2" s="17">
        <v>44666</v>
      </c>
      <c r="E2" s="16" t="s">
        <v>2340</v>
      </c>
      <c r="F2" s="17">
        <v>44666</v>
      </c>
      <c r="J2" s="2" t="s">
        <v>470</v>
      </c>
    </row>
    <row r="3" spans="1:14" x14ac:dyDescent="0.25">
      <c r="A3" s="18" t="s">
        <v>834</v>
      </c>
      <c r="B3">
        <v>8.6630772509743714E-4</v>
      </c>
      <c r="C3" s="17">
        <f>C2+1</f>
        <v>44667</v>
      </c>
      <c r="J3" s="2" t="s">
        <v>471</v>
      </c>
      <c r="N3" s="1" t="s">
        <v>2318</v>
      </c>
    </row>
    <row r="4" spans="1:14" x14ac:dyDescent="0.25">
      <c r="A4" s="18" t="s">
        <v>911</v>
      </c>
      <c r="B4">
        <v>9.9005027520171485E-4</v>
      </c>
      <c r="C4" s="17">
        <f t="shared" ref="C4:C67" si="0">C3+1</f>
        <v>44668</v>
      </c>
      <c r="D4" s="17"/>
      <c r="J4" s="2" t="s">
        <v>472</v>
      </c>
      <c r="N4" t="s">
        <v>2316</v>
      </c>
    </row>
    <row r="5" spans="1:14" x14ac:dyDescent="0.25">
      <c r="A5" s="18" t="s">
        <v>504</v>
      </c>
      <c r="B5">
        <v>1.583922980112451E-3</v>
      </c>
      <c r="C5" s="17">
        <f t="shared" si="0"/>
        <v>44669</v>
      </c>
      <c r="D5" s="17"/>
      <c r="J5" s="2" t="s">
        <v>473</v>
      </c>
      <c r="N5" t="s">
        <v>2315</v>
      </c>
    </row>
    <row r="6" spans="1:14" x14ac:dyDescent="0.25">
      <c r="A6" s="18" t="s">
        <v>266</v>
      </c>
      <c r="B6">
        <v>2.0012102097253237E-3</v>
      </c>
      <c r="C6" s="17">
        <f t="shared" si="0"/>
        <v>44670</v>
      </c>
      <c r="D6" s="17"/>
      <c r="J6" s="2" t="s">
        <v>474</v>
      </c>
    </row>
    <row r="7" spans="1:14" x14ac:dyDescent="0.25">
      <c r="A7" s="18" t="s">
        <v>601</v>
      </c>
      <c r="B7">
        <v>2.3857439773744549E-3</v>
      </c>
      <c r="C7" s="17">
        <f t="shared" si="0"/>
        <v>44671</v>
      </c>
      <c r="D7" s="17"/>
      <c r="J7" s="2" t="s">
        <v>475</v>
      </c>
    </row>
    <row r="8" spans="1:14" x14ac:dyDescent="0.25">
      <c r="A8" s="18" t="s">
        <v>1865</v>
      </c>
      <c r="B8">
        <v>2.4981425468004748E-3</v>
      </c>
      <c r="C8" s="17">
        <f t="shared" si="0"/>
        <v>44672</v>
      </c>
      <c r="D8" s="17"/>
      <c r="J8" s="2" t="s">
        <v>476</v>
      </c>
    </row>
    <row r="9" spans="1:14" x14ac:dyDescent="0.25">
      <c r="A9" s="18" t="s">
        <v>1817</v>
      </c>
      <c r="B9">
        <v>2.9943388643254298E-3</v>
      </c>
      <c r="C9" s="17">
        <f t="shared" si="0"/>
        <v>44673</v>
      </c>
      <c r="D9" s="17"/>
      <c r="J9" s="2" t="s">
        <v>477</v>
      </c>
    </row>
    <row r="10" spans="1:14" x14ac:dyDescent="0.25">
      <c r="A10" s="18" t="s">
        <v>812</v>
      </c>
      <c r="B10">
        <v>3.3826075132017408E-3</v>
      </c>
      <c r="C10" s="17">
        <f t="shared" si="0"/>
        <v>44674</v>
      </c>
      <c r="D10" s="17"/>
      <c r="J10" s="2" t="s">
        <v>478</v>
      </c>
    </row>
    <row r="11" spans="1:14" x14ac:dyDescent="0.25">
      <c r="A11" s="18" t="s">
        <v>1965</v>
      </c>
      <c r="B11">
        <v>3.6629538853710786E-3</v>
      </c>
      <c r="C11" s="17">
        <f t="shared" si="0"/>
        <v>44675</v>
      </c>
      <c r="D11" s="17"/>
      <c r="J11" s="2" t="s">
        <v>323</v>
      </c>
    </row>
    <row r="12" spans="1:14" x14ac:dyDescent="0.25">
      <c r="A12" s="18" t="s">
        <v>1771</v>
      </c>
      <c r="B12">
        <v>4.1511076463447427E-3</v>
      </c>
      <c r="C12" s="17">
        <f t="shared" si="0"/>
        <v>44676</v>
      </c>
      <c r="D12" s="17"/>
      <c r="J12" s="2" t="s">
        <v>479</v>
      </c>
    </row>
    <row r="13" spans="1:14" x14ac:dyDescent="0.25">
      <c r="A13" s="18" t="s">
        <v>2225</v>
      </c>
      <c r="B13">
        <v>4.1929544256306128E-3</v>
      </c>
      <c r="C13" s="17">
        <f t="shared" si="0"/>
        <v>44677</v>
      </c>
      <c r="D13" s="17"/>
      <c r="J13" s="2" t="s">
        <v>480</v>
      </c>
    </row>
    <row r="14" spans="1:14" x14ac:dyDescent="0.25">
      <c r="A14" s="18" t="s">
        <v>537</v>
      </c>
      <c r="B14">
        <v>4.4710455664390691E-3</v>
      </c>
      <c r="C14" s="17">
        <f t="shared" si="0"/>
        <v>44678</v>
      </c>
      <c r="D14" s="17"/>
      <c r="J14" s="2" t="s">
        <v>235</v>
      </c>
    </row>
    <row r="15" spans="1:14" x14ac:dyDescent="0.25">
      <c r="A15" s="18" t="s">
        <v>884</v>
      </c>
      <c r="B15">
        <v>5.4550430596601585E-3</v>
      </c>
      <c r="C15" s="17">
        <f t="shared" si="0"/>
        <v>44679</v>
      </c>
      <c r="D15" s="17"/>
      <c r="J15" s="2" t="s">
        <v>481</v>
      </c>
    </row>
    <row r="16" spans="1:14" x14ac:dyDescent="0.25">
      <c r="A16" s="18" t="s">
        <v>1050</v>
      </c>
      <c r="B16">
        <v>5.5375421049672635E-3</v>
      </c>
      <c r="C16" s="17">
        <f t="shared" si="0"/>
        <v>44680</v>
      </c>
      <c r="D16" s="17"/>
      <c r="J16" s="2" t="s">
        <v>482</v>
      </c>
    </row>
    <row r="17" spans="1:10" x14ac:dyDescent="0.25">
      <c r="A17" s="18" t="s">
        <v>376</v>
      </c>
      <c r="B17">
        <v>5.7223387720116703E-3</v>
      </c>
      <c r="C17" s="17">
        <f t="shared" si="0"/>
        <v>44681</v>
      </c>
      <c r="D17" s="17"/>
      <c r="J17" s="2" t="s">
        <v>168</v>
      </c>
    </row>
    <row r="18" spans="1:10" x14ac:dyDescent="0.25">
      <c r="A18" s="18" t="s">
        <v>2201</v>
      </c>
      <c r="B18">
        <v>5.9792556222207915E-3</v>
      </c>
      <c r="C18" s="17">
        <f t="shared" si="0"/>
        <v>44682</v>
      </c>
      <c r="D18" s="17"/>
      <c r="J18" s="2" t="s">
        <v>294</v>
      </c>
    </row>
    <row r="19" spans="1:10" x14ac:dyDescent="0.25">
      <c r="A19" s="18" t="s">
        <v>329</v>
      </c>
      <c r="B19">
        <v>6.2622572527916143E-3</v>
      </c>
      <c r="C19" s="17">
        <f t="shared" si="0"/>
        <v>44683</v>
      </c>
      <c r="D19" s="17"/>
      <c r="J19" s="2" t="s">
        <v>41</v>
      </c>
    </row>
    <row r="20" spans="1:10" x14ac:dyDescent="0.25">
      <c r="A20" s="18" t="s">
        <v>2076</v>
      </c>
      <c r="B20">
        <v>6.3039210754375352E-3</v>
      </c>
      <c r="C20" s="17">
        <f t="shared" si="0"/>
        <v>44684</v>
      </c>
      <c r="D20" s="17"/>
      <c r="J20" s="2" t="s">
        <v>483</v>
      </c>
    </row>
    <row r="21" spans="1:10" x14ac:dyDescent="0.25">
      <c r="A21" s="18" t="s">
        <v>422</v>
      </c>
      <c r="B21">
        <v>6.5843734472363913E-3</v>
      </c>
      <c r="C21" s="17">
        <f t="shared" si="0"/>
        <v>44685</v>
      </c>
      <c r="D21" s="17"/>
      <c r="J21" s="2" t="s">
        <v>484</v>
      </c>
    </row>
    <row r="22" spans="1:10" x14ac:dyDescent="0.25">
      <c r="A22" s="18" t="s">
        <v>531</v>
      </c>
      <c r="B22">
        <v>6.8605191797982412E-3</v>
      </c>
      <c r="C22" s="17">
        <f t="shared" si="0"/>
        <v>44686</v>
      </c>
      <c r="D22" s="17"/>
      <c r="J22" s="2" t="s">
        <v>224</v>
      </c>
    </row>
    <row r="23" spans="1:10" x14ac:dyDescent="0.25">
      <c r="A23" s="18" t="s">
        <v>1764</v>
      </c>
      <c r="B23">
        <v>7.4079586256183827E-3</v>
      </c>
      <c r="C23" s="17">
        <f t="shared" si="0"/>
        <v>44687</v>
      </c>
      <c r="D23" s="17"/>
      <c r="J23" s="2" t="s">
        <v>106</v>
      </c>
    </row>
    <row r="24" spans="1:10" x14ac:dyDescent="0.25">
      <c r="A24" s="18" t="s">
        <v>1498</v>
      </c>
      <c r="B24">
        <v>8.7585354022486905E-3</v>
      </c>
      <c r="C24" s="17">
        <f t="shared" si="0"/>
        <v>44688</v>
      </c>
      <c r="D24" s="17"/>
      <c r="J24" s="2" t="s">
        <v>158</v>
      </c>
    </row>
    <row r="25" spans="1:10" x14ac:dyDescent="0.25">
      <c r="A25" s="18" t="s">
        <v>1946</v>
      </c>
      <c r="B25">
        <v>9.7631995431276541E-3</v>
      </c>
      <c r="C25" s="17">
        <f t="shared" si="0"/>
        <v>44689</v>
      </c>
      <c r="D25" s="17"/>
      <c r="J25" s="2" t="s">
        <v>485</v>
      </c>
    </row>
    <row r="26" spans="1:10" x14ac:dyDescent="0.25">
      <c r="A26" s="18" t="s">
        <v>1500</v>
      </c>
      <c r="B26">
        <v>1.0155772519688688E-2</v>
      </c>
      <c r="C26" s="17">
        <f t="shared" si="0"/>
        <v>44690</v>
      </c>
      <c r="D26" s="17"/>
      <c r="J26" s="2" t="s">
        <v>486</v>
      </c>
    </row>
    <row r="27" spans="1:10" x14ac:dyDescent="0.25">
      <c r="A27" s="18" t="s">
        <v>1353</v>
      </c>
      <c r="B27">
        <v>1.0543483536007758E-2</v>
      </c>
      <c r="C27" s="17">
        <f t="shared" si="0"/>
        <v>44691</v>
      </c>
      <c r="D27" s="17"/>
      <c r="J27" s="2" t="s">
        <v>487</v>
      </c>
    </row>
    <row r="28" spans="1:10" x14ac:dyDescent="0.25">
      <c r="A28" s="18" t="s">
        <v>435</v>
      </c>
      <c r="B28">
        <v>1.0979991013454149E-2</v>
      </c>
      <c r="C28" s="17">
        <f t="shared" si="0"/>
        <v>44692</v>
      </c>
      <c r="D28" s="17"/>
      <c r="J28" s="2" t="s">
        <v>488</v>
      </c>
    </row>
    <row r="29" spans="1:10" x14ac:dyDescent="0.25">
      <c r="A29" s="18" t="s">
        <v>1358</v>
      </c>
      <c r="B29">
        <v>1.2969037802794348E-2</v>
      </c>
      <c r="C29" s="17">
        <f t="shared" si="0"/>
        <v>44693</v>
      </c>
      <c r="D29" s="17"/>
      <c r="J29" s="2" t="s">
        <v>226</v>
      </c>
    </row>
    <row r="30" spans="1:10" x14ac:dyDescent="0.25">
      <c r="A30" s="18" t="s">
        <v>1654</v>
      </c>
      <c r="B30">
        <v>1.4110065102873826E-2</v>
      </c>
      <c r="C30" s="17">
        <f t="shared" si="0"/>
        <v>44694</v>
      </c>
      <c r="D30" s="17"/>
      <c r="J30" s="2" t="s">
        <v>303</v>
      </c>
    </row>
    <row r="31" spans="1:10" x14ac:dyDescent="0.25">
      <c r="A31" s="18" t="s">
        <v>284</v>
      </c>
      <c r="B31">
        <v>1.4385432368591577E-2</v>
      </c>
      <c r="C31" s="17">
        <f t="shared" si="0"/>
        <v>44695</v>
      </c>
      <c r="D31" s="17"/>
      <c r="J31" s="2" t="s">
        <v>489</v>
      </c>
    </row>
    <row r="32" spans="1:10" x14ac:dyDescent="0.25">
      <c r="A32" s="18" t="s">
        <v>1845</v>
      </c>
      <c r="B32">
        <v>1.5118732038568172E-2</v>
      </c>
      <c r="C32" s="17">
        <f t="shared" si="0"/>
        <v>44696</v>
      </c>
      <c r="D32" s="17"/>
      <c r="J32" s="2" t="s">
        <v>286</v>
      </c>
    </row>
    <row r="33" spans="1:10" x14ac:dyDescent="0.25">
      <c r="A33" s="18" t="s">
        <v>984</v>
      </c>
      <c r="B33">
        <v>1.5200882793943049E-2</v>
      </c>
      <c r="C33" s="17">
        <f t="shared" si="0"/>
        <v>44697</v>
      </c>
      <c r="D33" s="17"/>
      <c r="J33" s="2" t="s">
        <v>490</v>
      </c>
    </row>
    <row r="34" spans="1:10" x14ac:dyDescent="0.25">
      <c r="A34" s="18" t="s">
        <v>2050</v>
      </c>
      <c r="B34">
        <v>1.539108785403609E-2</v>
      </c>
      <c r="C34" s="17">
        <f t="shared" si="0"/>
        <v>44698</v>
      </c>
      <c r="D34" s="17"/>
      <c r="J34" s="2" t="s">
        <v>491</v>
      </c>
    </row>
    <row r="35" spans="1:10" x14ac:dyDescent="0.25">
      <c r="A35" s="18" t="s">
        <v>1542</v>
      </c>
      <c r="B35">
        <v>1.6910696708971162E-2</v>
      </c>
      <c r="C35" s="17">
        <f t="shared" si="0"/>
        <v>44699</v>
      </c>
      <c r="D35" s="17"/>
      <c r="J35" s="2" t="s">
        <v>492</v>
      </c>
    </row>
    <row r="36" spans="1:10" x14ac:dyDescent="0.25">
      <c r="A36" s="18" t="s">
        <v>2251</v>
      </c>
      <c r="B36">
        <v>1.7188958558426948E-2</v>
      </c>
      <c r="C36" s="17">
        <f t="shared" si="0"/>
        <v>44700</v>
      </c>
      <c r="D36" s="17"/>
      <c r="J36" s="2" t="s">
        <v>367</v>
      </c>
    </row>
    <row r="37" spans="1:10" x14ac:dyDescent="0.25">
      <c r="A37" s="18" t="s">
        <v>1869</v>
      </c>
      <c r="B37">
        <v>1.719061171033176E-2</v>
      </c>
      <c r="C37" s="17">
        <f t="shared" si="0"/>
        <v>44701</v>
      </c>
      <c r="D37" s="17"/>
      <c r="J37" s="2" t="s">
        <v>264</v>
      </c>
    </row>
    <row r="38" spans="1:10" x14ac:dyDescent="0.25">
      <c r="A38" s="18" t="s">
        <v>503</v>
      </c>
      <c r="B38">
        <v>1.7259960141912112E-2</v>
      </c>
      <c r="C38" s="17">
        <f t="shared" si="0"/>
        <v>44702</v>
      </c>
      <c r="D38" s="17"/>
      <c r="J38" s="2" t="s">
        <v>493</v>
      </c>
    </row>
    <row r="39" spans="1:10" x14ac:dyDescent="0.25">
      <c r="A39" s="18" t="s">
        <v>1707</v>
      </c>
      <c r="B39">
        <v>1.7264612073971008E-2</v>
      </c>
      <c r="C39" s="17">
        <f t="shared" si="0"/>
        <v>44703</v>
      </c>
      <c r="D39" s="17"/>
      <c r="J39" s="2" t="s">
        <v>494</v>
      </c>
    </row>
    <row r="40" spans="1:10" x14ac:dyDescent="0.25">
      <c r="A40" s="18" t="s">
        <v>587</v>
      </c>
      <c r="B40">
        <v>1.8221866794104424E-2</v>
      </c>
      <c r="C40" s="17">
        <f t="shared" si="0"/>
        <v>44704</v>
      </c>
      <c r="D40" s="17"/>
      <c r="J40" s="2" t="s">
        <v>495</v>
      </c>
    </row>
    <row r="41" spans="1:10" x14ac:dyDescent="0.25">
      <c r="A41" s="18" t="s">
        <v>1004</v>
      </c>
      <c r="B41">
        <v>1.8405361396927167E-2</v>
      </c>
      <c r="C41" s="17">
        <f t="shared" si="0"/>
        <v>44705</v>
      </c>
      <c r="D41" s="17"/>
      <c r="J41" s="2" t="s">
        <v>496</v>
      </c>
    </row>
    <row r="42" spans="1:10" x14ac:dyDescent="0.25">
      <c r="A42" s="18" t="s">
        <v>676</v>
      </c>
      <c r="B42">
        <v>1.8806652295811133E-2</v>
      </c>
      <c r="C42" s="17">
        <f t="shared" si="0"/>
        <v>44706</v>
      </c>
      <c r="D42" s="17"/>
      <c r="J42" s="2" t="s">
        <v>497</v>
      </c>
    </row>
    <row r="43" spans="1:10" x14ac:dyDescent="0.25">
      <c r="A43" s="18" t="s">
        <v>1825</v>
      </c>
      <c r="B43">
        <v>1.9597155596544735E-2</v>
      </c>
      <c r="C43" s="17">
        <f t="shared" si="0"/>
        <v>44707</v>
      </c>
      <c r="D43" s="17"/>
      <c r="J43" s="2" t="s">
        <v>98</v>
      </c>
    </row>
    <row r="44" spans="1:10" x14ac:dyDescent="0.25">
      <c r="A44" s="18" t="s">
        <v>1278</v>
      </c>
      <c r="B44">
        <v>2.1197754127273205E-2</v>
      </c>
      <c r="C44" s="17">
        <f t="shared" si="0"/>
        <v>44708</v>
      </c>
      <c r="D44" s="17"/>
      <c r="J44" s="2" t="s">
        <v>498</v>
      </c>
    </row>
    <row r="45" spans="1:10" x14ac:dyDescent="0.25">
      <c r="A45" s="18" t="s">
        <v>527</v>
      </c>
      <c r="B45">
        <v>2.1250281233522794E-2</v>
      </c>
      <c r="C45" s="17">
        <f t="shared" si="0"/>
        <v>44709</v>
      </c>
      <c r="D45" s="17"/>
      <c r="J45" s="2" t="s">
        <v>499</v>
      </c>
    </row>
    <row r="46" spans="1:10" x14ac:dyDescent="0.25">
      <c r="A46" s="18" t="s">
        <v>1682</v>
      </c>
      <c r="B46">
        <v>2.144693949653298E-2</v>
      </c>
      <c r="C46" s="17">
        <f t="shared" si="0"/>
        <v>44710</v>
      </c>
      <c r="D46" s="17"/>
      <c r="J46" s="2" t="s">
        <v>500</v>
      </c>
    </row>
    <row r="47" spans="1:10" x14ac:dyDescent="0.25">
      <c r="A47" s="18" t="s">
        <v>1717</v>
      </c>
      <c r="B47">
        <v>2.1758359801719251E-2</v>
      </c>
      <c r="C47" s="17">
        <f t="shared" si="0"/>
        <v>44711</v>
      </c>
      <c r="D47" s="17"/>
      <c r="J47" s="2" t="s">
        <v>501</v>
      </c>
    </row>
    <row r="48" spans="1:10" x14ac:dyDescent="0.25">
      <c r="A48" s="18" t="s">
        <v>1872</v>
      </c>
      <c r="B48">
        <v>2.1973990083211437E-2</v>
      </c>
      <c r="C48" s="17">
        <f t="shared" si="0"/>
        <v>44712</v>
      </c>
      <c r="D48" s="17"/>
      <c r="J48" s="2" t="s">
        <v>502</v>
      </c>
    </row>
    <row r="49" spans="1:10" x14ac:dyDescent="0.25">
      <c r="A49" s="18" t="s">
        <v>1589</v>
      </c>
      <c r="B49">
        <v>2.2023781531101516E-2</v>
      </c>
      <c r="C49" s="17">
        <f t="shared" si="0"/>
        <v>44713</v>
      </c>
      <c r="D49" s="17"/>
      <c r="J49" s="2" t="s">
        <v>503</v>
      </c>
    </row>
    <row r="50" spans="1:10" x14ac:dyDescent="0.25">
      <c r="A50" s="18" t="s">
        <v>1091</v>
      </c>
      <c r="B50">
        <v>2.2127098063380202E-2</v>
      </c>
      <c r="C50" s="17">
        <f t="shared" si="0"/>
        <v>44714</v>
      </c>
      <c r="D50" s="17"/>
      <c r="J50" s="2" t="s">
        <v>504</v>
      </c>
    </row>
    <row r="51" spans="1:10" x14ac:dyDescent="0.25">
      <c r="A51" s="18" t="s">
        <v>1406</v>
      </c>
      <c r="B51">
        <v>2.2710924637297181E-2</v>
      </c>
      <c r="C51" s="17">
        <f t="shared" si="0"/>
        <v>44715</v>
      </c>
      <c r="D51" s="17"/>
      <c r="J51" s="2" t="s">
        <v>282</v>
      </c>
    </row>
    <row r="52" spans="1:10" x14ac:dyDescent="0.25">
      <c r="A52" s="18" t="s">
        <v>2094</v>
      </c>
      <c r="B52">
        <v>2.2716292707339547E-2</v>
      </c>
      <c r="C52" s="17">
        <f t="shared" si="0"/>
        <v>44716</v>
      </c>
      <c r="D52" s="17"/>
      <c r="J52" s="2" t="s">
        <v>505</v>
      </c>
    </row>
    <row r="53" spans="1:10" x14ac:dyDescent="0.25">
      <c r="A53" s="18" t="s">
        <v>2113</v>
      </c>
      <c r="B53">
        <v>2.2841995170650775E-2</v>
      </c>
      <c r="C53" s="17">
        <f t="shared" si="0"/>
        <v>44717</v>
      </c>
      <c r="D53" s="17"/>
      <c r="J53" s="2" t="s">
        <v>506</v>
      </c>
    </row>
    <row r="54" spans="1:10" x14ac:dyDescent="0.25">
      <c r="A54" s="18" t="s">
        <v>2290</v>
      </c>
      <c r="B54">
        <v>2.3153524817448923E-2</v>
      </c>
      <c r="C54" s="17">
        <f t="shared" si="0"/>
        <v>44718</v>
      </c>
      <c r="D54" s="17"/>
      <c r="J54" s="2" t="s">
        <v>507</v>
      </c>
    </row>
    <row r="55" spans="1:10" x14ac:dyDescent="0.25">
      <c r="A55" s="18" t="s">
        <v>806</v>
      </c>
      <c r="B55">
        <v>2.3528446307196971E-2</v>
      </c>
      <c r="C55" s="17">
        <f t="shared" si="0"/>
        <v>44719</v>
      </c>
      <c r="D55" s="17"/>
      <c r="J55" s="2" t="s">
        <v>150</v>
      </c>
    </row>
    <row r="56" spans="1:10" x14ac:dyDescent="0.25">
      <c r="A56" s="18" t="s">
        <v>1005</v>
      </c>
      <c r="B56">
        <v>2.3702259393387548E-2</v>
      </c>
      <c r="C56" s="17">
        <f t="shared" si="0"/>
        <v>44720</v>
      </c>
      <c r="D56" s="17"/>
      <c r="J56" s="2" t="s">
        <v>508</v>
      </c>
    </row>
    <row r="57" spans="1:10" x14ac:dyDescent="0.25">
      <c r="A57" s="18" t="s">
        <v>399</v>
      </c>
      <c r="B57">
        <v>2.3788712820074776E-2</v>
      </c>
      <c r="C57" s="17">
        <f t="shared" si="0"/>
        <v>44721</v>
      </c>
      <c r="D57" s="17"/>
      <c r="J57" s="2" t="s">
        <v>155</v>
      </c>
    </row>
    <row r="58" spans="1:10" x14ac:dyDescent="0.25">
      <c r="A58" s="18" t="s">
        <v>1125</v>
      </c>
      <c r="B58">
        <v>2.3820860919777531E-2</v>
      </c>
      <c r="C58" s="17">
        <f t="shared" si="0"/>
        <v>44722</v>
      </c>
      <c r="D58" s="17"/>
      <c r="J58" s="2" t="s">
        <v>148</v>
      </c>
    </row>
    <row r="59" spans="1:10" x14ac:dyDescent="0.25">
      <c r="A59" s="18" t="s">
        <v>1482</v>
      </c>
      <c r="B59">
        <v>2.4476010261745396E-2</v>
      </c>
      <c r="C59" s="17">
        <f t="shared" si="0"/>
        <v>44723</v>
      </c>
      <c r="D59" s="17"/>
      <c r="J59" s="2" t="s">
        <v>371</v>
      </c>
    </row>
    <row r="60" spans="1:10" x14ac:dyDescent="0.25">
      <c r="A60" s="18" t="s">
        <v>2052</v>
      </c>
      <c r="B60">
        <v>2.5351349487957031E-2</v>
      </c>
      <c r="C60" s="17">
        <f t="shared" si="0"/>
        <v>44724</v>
      </c>
      <c r="D60" s="17"/>
      <c r="J60" s="2" t="s">
        <v>509</v>
      </c>
    </row>
    <row r="61" spans="1:10" x14ac:dyDescent="0.25">
      <c r="A61" s="18" t="s">
        <v>280</v>
      </c>
      <c r="B61">
        <v>2.5943152169386807E-2</v>
      </c>
      <c r="C61" s="17">
        <f t="shared" si="0"/>
        <v>44725</v>
      </c>
      <c r="D61" s="17"/>
      <c r="J61" s="2" t="s">
        <v>510</v>
      </c>
    </row>
    <row r="62" spans="1:10" x14ac:dyDescent="0.25">
      <c r="A62" s="18" t="s">
        <v>1168</v>
      </c>
      <c r="B62">
        <v>2.7031793537856008E-2</v>
      </c>
      <c r="C62" s="17">
        <f t="shared" si="0"/>
        <v>44726</v>
      </c>
      <c r="D62" s="17"/>
      <c r="J62" s="2" t="s">
        <v>511</v>
      </c>
    </row>
    <row r="63" spans="1:10" x14ac:dyDescent="0.25">
      <c r="A63" s="18" t="s">
        <v>207</v>
      </c>
      <c r="B63">
        <v>2.7243476535743327E-2</v>
      </c>
      <c r="C63" s="17">
        <f t="shared" si="0"/>
        <v>44727</v>
      </c>
      <c r="D63" s="17"/>
      <c r="J63" s="2" t="s">
        <v>288</v>
      </c>
    </row>
    <row r="64" spans="1:10" x14ac:dyDescent="0.25">
      <c r="A64" s="18" t="s">
        <v>1985</v>
      </c>
      <c r="B64">
        <v>2.7713868217125515E-2</v>
      </c>
      <c r="C64" s="17">
        <f t="shared" si="0"/>
        <v>44728</v>
      </c>
      <c r="D64" s="17"/>
      <c r="J64" s="2" t="s">
        <v>512</v>
      </c>
    </row>
    <row r="65" spans="1:10" x14ac:dyDescent="0.25">
      <c r="A65" s="18" t="s">
        <v>564</v>
      </c>
      <c r="B65">
        <v>2.8030166406911694E-2</v>
      </c>
      <c r="C65" s="17">
        <f t="shared" si="0"/>
        <v>44729</v>
      </c>
      <c r="D65" s="17"/>
      <c r="J65" s="2" t="s">
        <v>513</v>
      </c>
    </row>
    <row r="66" spans="1:10" x14ac:dyDescent="0.25">
      <c r="A66" s="18" t="s">
        <v>2209</v>
      </c>
      <c r="B66">
        <v>2.8981746500710837E-2</v>
      </c>
      <c r="C66" s="17">
        <f t="shared" si="0"/>
        <v>44730</v>
      </c>
      <c r="D66" s="17"/>
      <c r="J66" s="2" t="s">
        <v>514</v>
      </c>
    </row>
    <row r="67" spans="1:10" x14ac:dyDescent="0.25">
      <c r="A67" s="18" t="s">
        <v>2186</v>
      </c>
      <c r="B67">
        <v>2.9109571170835236E-2</v>
      </c>
      <c r="C67" s="17">
        <f t="shared" si="0"/>
        <v>44731</v>
      </c>
      <c r="D67" s="17"/>
      <c r="J67" s="2" t="s">
        <v>515</v>
      </c>
    </row>
    <row r="68" spans="1:10" x14ac:dyDescent="0.25">
      <c r="A68" s="18" t="s">
        <v>649</v>
      </c>
      <c r="B68">
        <v>2.9160853125731356E-2</v>
      </c>
      <c r="C68" s="17">
        <f t="shared" ref="C68:C131" si="1">C67+1</f>
        <v>44732</v>
      </c>
      <c r="D68" s="17"/>
      <c r="J68" s="2" t="s">
        <v>263</v>
      </c>
    </row>
    <row r="69" spans="1:10" x14ac:dyDescent="0.25">
      <c r="A69" s="18" t="s">
        <v>2287</v>
      </c>
      <c r="B69">
        <v>3.0117431724000054E-2</v>
      </c>
      <c r="C69" s="17">
        <f t="shared" si="1"/>
        <v>44733</v>
      </c>
      <c r="D69" s="17"/>
      <c r="J69" s="2" t="s">
        <v>516</v>
      </c>
    </row>
    <row r="70" spans="1:10" x14ac:dyDescent="0.25">
      <c r="A70" s="18" t="s">
        <v>572</v>
      </c>
      <c r="B70">
        <v>3.0674301833461648E-2</v>
      </c>
      <c r="C70" s="17">
        <f t="shared" si="1"/>
        <v>44734</v>
      </c>
      <c r="D70" s="17"/>
      <c r="J70" s="2" t="s">
        <v>517</v>
      </c>
    </row>
    <row r="71" spans="1:10" x14ac:dyDescent="0.25">
      <c r="A71" s="18" t="s">
        <v>380</v>
      </c>
      <c r="B71">
        <v>3.1650837413864319E-2</v>
      </c>
      <c r="C71" s="17">
        <f t="shared" si="1"/>
        <v>44735</v>
      </c>
      <c r="D71" s="17"/>
      <c r="J71" s="2" t="s">
        <v>518</v>
      </c>
    </row>
    <row r="72" spans="1:10" x14ac:dyDescent="0.25">
      <c r="A72" s="18" t="s">
        <v>1330</v>
      </c>
      <c r="B72">
        <v>3.1673742800771398E-2</v>
      </c>
      <c r="C72" s="17">
        <f t="shared" si="1"/>
        <v>44736</v>
      </c>
      <c r="D72" s="17"/>
      <c r="J72" s="2" t="s">
        <v>11</v>
      </c>
    </row>
    <row r="73" spans="1:10" x14ac:dyDescent="0.25">
      <c r="A73" s="18" t="s">
        <v>633</v>
      </c>
      <c r="B73">
        <v>3.2085419788019043E-2</v>
      </c>
      <c r="C73" s="17">
        <f t="shared" si="1"/>
        <v>44737</v>
      </c>
      <c r="D73" s="17"/>
      <c r="J73" s="2" t="s">
        <v>130</v>
      </c>
    </row>
    <row r="74" spans="1:10" x14ac:dyDescent="0.25">
      <c r="A74" s="18" t="s">
        <v>1260</v>
      </c>
      <c r="B74">
        <v>3.210879514106213E-2</v>
      </c>
      <c r="C74" s="17">
        <f t="shared" si="1"/>
        <v>44738</v>
      </c>
      <c r="D74" s="17"/>
      <c r="J74" s="2" t="s">
        <v>519</v>
      </c>
    </row>
    <row r="75" spans="1:10" x14ac:dyDescent="0.25">
      <c r="A75" s="18" t="s">
        <v>1718</v>
      </c>
      <c r="B75">
        <v>3.2767979889001486E-2</v>
      </c>
      <c r="C75" s="17">
        <f t="shared" si="1"/>
        <v>44739</v>
      </c>
      <c r="D75" s="17"/>
      <c r="J75" s="2" t="s">
        <v>26</v>
      </c>
    </row>
    <row r="76" spans="1:10" x14ac:dyDescent="0.25">
      <c r="A76" s="18" t="s">
        <v>1517</v>
      </c>
      <c r="B76">
        <v>3.2898568007544537E-2</v>
      </c>
      <c r="C76" s="17">
        <f t="shared" si="1"/>
        <v>44740</v>
      </c>
      <c r="D76" s="17"/>
      <c r="J76" s="2" t="s">
        <v>520</v>
      </c>
    </row>
    <row r="77" spans="1:10" x14ac:dyDescent="0.25">
      <c r="A77" s="18" t="s">
        <v>764</v>
      </c>
      <c r="B77">
        <v>3.3189839198421445E-2</v>
      </c>
      <c r="C77" s="17">
        <f t="shared" si="1"/>
        <v>44741</v>
      </c>
      <c r="D77" s="17"/>
      <c r="J77" s="2" t="s">
        <v>521</v>
      </c>
    </row>
    <row r="78" spans="1:10" x14ac:dyDescent="0.25">
      <c r="A78" s="18" t="s">
        <v>66</v>
      </c>
      <c r="B78">
        <v>3.3192750915289504E-2</v>
      </c>
      <c r="C78" s="17">
        <f t="shared" si="1"/>
        <v>44742</v>
      </c>
      <c r="D78" s="17"/>
      <c r="J78" s="2" t="s">
        <v>522</v>
      </c>
    </row>
    <row r="79" spans="1:10" x14ac:dyDescent="0.25">
      <c r="A79" s="18" t="s">
        <v>558</v>
      </c>
      <c r="B79">
        <v>3.3548441787905947E-2</v>
      </c>
      <c r="C79" s="17">
        <f t="shared" si="1"/>
        <v>44743</v>
      </c>
      <c r="D79" s="17"/>
      <c r="J79" s="2" t="s">
        <v>523</v>
      </c>
    </row>
    <row r="80" spans="1:10" x14ac:dyDescent="0.25">
      <c r="A80" s="18" t="s">
        <v>746</v>
      </c>
      <c r="B80">
        <v>3.4110583948720907E-2</v>
      </c>
      <c r="C80" s="17">
        <f t="shared" si="1"/>
        <v>44744</v>
      </c>
      <c r="D80" s="17"/>
      <c r="J80" s="2" t="s">
        <v>524</v>
      </c>
    </row>
    <row r="81" spans="1:10" x14ac:dyDescent="0.25">
      <c r="A81" s="18" t="s">
        <v>1790</v>
      </c>
      <c r="B81">
        <v>3.4361926682666688E-2</v>
      </c>
      <c r="C81" s="17">
        <f t="shared" si="1"/>
        <v>44745</v>
      </c>
      <c r="D81" s="17"/>
      <c r="J81" s="2" t="s">
        <v>159</v>
      </c>
    </row>
    <row r="82" spans="1:10" x14ac:dyDescent="0.25">
      <c r="A82" s="18" t="s">
        <v>1044</v>
      </c>
      <c r="B82">
        <v>3.4621289032364277E-2</v>
      </c>
      <c r="C82" s="17">
        <f t="shared" si="1"/>
        <v>44746</v>
      </c>
      <c r="D82" s="17"/>
      <c r="J82" s="2" t="s">
        <v>525</v>
      </c>
    </row>
    <row r="83" spans="1:10" x14ac:dyDescent="0.25">
      <c r="A83" s="18" t="s">
        <v>2170</v>
      </c>
      <c r="B83">
        <v>3.4674016238715688E-2</v>
      </c>
      <c r="C83" s="17">
        <f t="shared" si="1"/>
        <v>44747</v>
      </c>
      <c r="D83" s="17"/>
      <c r="J83" s="2" t="s">
        <v>526</v>
      </c>
    </row>
    <row r="84" spans="1:10" x14ac:dyDescent="0.25">
      <c r="A84" s="18" t="s">
        <v>38</v>
      </c>
      <c r="B84">
        <v>3.4792120316790132E-2</v>
      </c>
      <c r="C84" s="17">
        <f t="shared" si="1"/>
        <v>44748</v>
      </c>
      <c r="D84" s="17"/>
      <c r="J84" s="2" t="s">
        <v>527</v>
      </c>
    </row>
    <row r="85" spans="1:10" x14ac:dyDescent="0.25">
      <c r="A85" s="18" t="s">
        <v>1195</v>
      </c>
      <c r="B85">
        <v>3.4893707574093269E-2</v>
      </c>
      <c r="C85" s="17">
        <f t="shared" si="1"/>
        <v>44749</v>
      </c>
      <c r="D85" s="17"/>
      <c r="J85" s="2" t="s">
        <v>528</v>
      </c>
    </row>
    <row r="86" spans="1:10" x14ac:dyDescent="0.25">
      <c r="A86" s="18" t="s">
        <v>1469</v>
      </c>
      <c r="B86">
        <v>3.7018790146371883E-2</v>
      </c>
      <c r="C86" s="17">
        <f t="shared" si="1"/>
        <v>44750</v>
      </c>
      <c r="D86" s="17"/>
      <c r="J86" s="2" t="s">
        <v>373</v>
      </c>
    </row>
    <row r="87" spans="1:10" x14ac:dyDescent="0.25">
      <c r="A87" s="18" t="s">
        <v>963</v>
      </c>
      <c r="B87">
        <v>3.7318339294933889E-2</v>
      </c>
      <c r="C87" s="17">
        <f t="shared" si="1"/>
        <v>44751</v>
      </c>
      <c r="D87" s="17"/>
      <c r="J87" s="2" t="s">
        <v>529</v>
      </c>
    </row>
    <row r="88" spans="1:10" x14ac:dyDescent="0.25">
      <c r="A88" s="18" t="s">
        <v>1157</v>
      </c>
      <c r="B88">
        <v>3.7506483950104585E-2</v>
      </c>
      <c r="C88" s="17">
        <f t="shared" si="1"/>
        <v>44752</v>
      </c>
      <c r="D88" s="17"/>
      <c r="J88" s="2" t="s">
        <v>530</v>
      </c>
    </row>
    <row r="89" spans="1:10" x14ac:dyDescent="0.25">
      <c r="A89" s="18" t="s">
        <v>305</v>
      </c>
      <c r="B89">
        <v>3.7634512315504076E-2</v>
      </c>
      <c r="C89" s="17">
        <f t="shared" si="1"/>
        <v>44753</v>
      </c>
      <c r="D89" s="17"/>
      <c r="J89" s="2" t="s">
        <v>531</v>
      </c>
    </row>
    <row r="90" spans="1:10" x14ac:dyDescent="0.25">
      <c r="A90" s="18" t="s">
        <v>1172</v>
      </c>
      <c r="B90">
        <v>3.8030611458541808E-2</v>
      </c>
      <c r="C90" s="17">
        <f t="shared" si="1"/>
        <v>44754</v>
      </c>
      <c r="D90" s="17"/>
      <c r="J90" s="2" t="s">
        <v>532</v>
      </c>
    </row>
    <row r="91" spans="1:10" x14ac:dyDescent="0.25">
      <c r="A91" s="18" t="s">
        <v>272</v>
      </c>
      <c r="B91">
        <v>3.8359852421540164E-2</v>
      </c>
      <c r="C91" s="17">
        <f t="shared" si="1"/>
        <v>44755</v>
      </c>
      <c r="D91" s="17"/>
      <c r="J91" s="2" t="s">
        <v>533</v>
      </c>
    </row>
    <row r="92" spans="1:10" x14ac:dyDescent="0.25">
      <c r="A92" s="18" t="s">
        <v>574</v>
      </c>
      <c r="B92">
        <v>3.8389284483983599E-2</v>
      </c>
      <c r="C92" s="17">
        <f t="shared" si="1"/>
        <v>44756</v>
      </c>
      <c r="D92" s="17"/>
      <c r="J92" s="2" t="s">
        <v>312</v>
      </c>
    </row>
    <row r="93" spans="1:10" x14ac:dyDescent="0.25">
      <c r="A93" s="18" t="s">
        <v>655</v>
      </c>
      <c r="B93">
        <v>3.963025954851418E-2</v>
      </c>
      <c r="C93" s="17">
        <f t="shared" si="1"/>
        <v>44757</v>
      </c>
      <c r="D93" s="17"/>
      <c r="J93" s="2" t="s">
        <v>534</v>
      </c>
    </row>
    <row r="94" spans="1:10" x14ac:dyDescent="0.25">
      <c r="A94" s="18" t="s">
        <v>860</v>
      </c>
      <c r="B94">
        <v>3.9941736686832541E-2</v>
      </c>
      <c r="C94" s="17">
        <f t="shared" si="1"/>
        <v>44758</v>
      </c>
      <c r="D94" s="17"/>
      <c r="J94" s="2" t="s">
        <v>535</v>
      </c>
    </row>
    <row r="95" spans="1:10" x14ac:dyDescent="0.25">
      <c r="A95" s="18" t="s">
        <v>1816</v>
      </c>
      <c r="B95">
        <v>4.0086569519739101E-2</v>
      </c>
      <c r="C95" s="17">
        <f t="shared" si="1"/>
        <v>44759</v>
      </c>
      <c r="D95" s="17"/>
      <c r="J95" s="2" t="s">
        <v>536</v>
      </c>
    </row>
    <row r="96" spans="1:10" x14ac:dyDescent="0.25">
      <c r="A96" s="18" t="s">
        <v>530</v>
      </c>
      <c r="B96">
        <v>4.0228779752385146E-2</v>
      </c>
      <c r="C96" s="17">
        <f t="shared" si="1"/>
        <v>44760</v>
      </c>
      <c r="D96" s="17"/>
      <c r="J96" s="2" t="s">
        <v>205</v>
      </c>
    </row>
    <row r="97" spans="1:10" x14ac:dyDescent="0.25">
      <c r="A97" s="18" t="s">
        <v>525</v>
      </c>
      <c r="B97">
        <v>4.0233871659468901E-2</v>
      </c>
      <c r="C97" s="17">
        <f t="shared" si="1"/>
        <v>44761</v>
      </c>
      <c r="D97" s="17"/>
      <c r="J97" s="2" t="s">
        <v>537</v>
      </c>
    </row>
    <row r="98" spans="1:10" x14ac:dyDescent="0.25">
      <c r="A98" s="18" t="s">
        <v>2077</v>
      </c>
      <c r="B98">
        <v>4.0737901843425517E-2</v>
      </c>
      <c r="C98" s="17">
        <f t="shared" si="1"/>
        <v>44762</v>
      </c>
      <c r="D98" s="17"/>
      <c r="J98" s="2" t="s">
        <v>538</v>
      </c>
    </row>
    <row r="99" spans="1:10" x14ac:dyDescent="0.25">
      <c r="A99" s="18" t="s">
        <v>955</v>
      </c>
      <c r="B99">
        <v>4.0948548228165849E-2</v>
      </c>
      <c r="C99" s="17">
        <f t="shared" si="1"/>
        <v>44763</v>
      </c>
      <c r="D99" s="17"/>
      <c r="J99" s="2" t="s">
        <v>539</v>
      </c>
    </row>
    <row r="100" spans="1:10" x14ac:dyDescent="0.25">
      <c r="A100" s="18" t="s">
        <v>417</v>
      </c>
      <c r="B100">
        <v>4.1350867279903336E-2</v>
      </c>
      <c r="C100" s="17">
        <f t="shared" si="1"/>
        <v>44764</v>
      </c>
      <c r="D100" s="17"/>
      <c r="J100" s="2" t="s">
        <v>540</v>
      </c>
    </row>
    <row r="101" spans="1:10" x14ac:dyDescent="0.25">
      <c r="A101" s="18" t="s">
        <v>127</v>
      </c>
      <c r="B101">
        <v>4.1589484187339543E-2</v>
      </c>
      <c r="C101" s="17">
        <f t="shared" si="1"/>
        <v>44765</v>
      </c>
      <c r="D101" s="17"/>
      <c r="J101" s="2" t="s">
        <v>541</v>
      </c>
    </row>
    <row r="102" spans="1:10" x14ac:dyDescent="0.25">
      <c r="A102" s="18" t="s">
        <v>2098</v>
      </c>
      <c r="B102">
        <v>4.1894664634922751E-2</v>
      </c>
      <c r="C102" s="17">
        <f t="shared" si="1"/>
        <v>44766</v>
      </c>
      <c r="D102" s="17"/>
      <c r="J102" s="2" t="s">
        <v>35</v>
      </c>
    </row>
    <row r="103" spans="1:10" x14ac:dyDescent="0.25">
      <c r="A103" s="18" t="s">
        <v>745</v>
      </c>
      <c r="B103">
        <v>4.3077746157466512E-2</v>
      </c>
      <c r="C103" s="17">
        <f t="shared" si="1"/>
        <v>44767</v>
      </c>
      <c r="D103" s="17"/>
      <c r="J103" s="2" t="s">
        <v>315</v>
      </c>
    </row>
    <row r="104" spans="1:10" x14ac:dyDescent="0.25">
      <c r="A104" s="18" t="s">
        <v>462</v>
      </c>
      <c r="B104">
        <v>4.3288535067291467E-2</v>
      </c>
      <c r="C104" s="17">
        <f t="shared" si="1"/>
        <v>44768</v>
      </c>
      <c r="D104" s="17"/>
      <c r="J104" s="2" t="s">
        <v>542</v>
      </c>
    </row>
    <row r="105" spans="1:10" x14ac:dyDescent="0.25">
      <c r="A105" s="18" t="s">
        <v>687</v>
      </c>
      <c r="B105">
        <v>4.3401370112976179E-2</v>
      </c>
      <c r="C105" s="17">
        <f t="shared" si="1"/>
        <v>44769</v>
      </c>
      <c r="D105" s="17"/>
      <c r="J105" s="2" t="s">
        <v>543</v>
      </c>
    </row>
    <row r="106" spans="1:10" x14ac:dyDescent="0.25">
      <c r="A106" s="18" t="s">
        <v>1585</v>
      </c>
      <c r="B106">
        <v>4.3734989923229661E-2</v>
      </c>
      <c r="C106" s="17">
        <f t="shared" si="1"/>
        <v>44770</v>
      </c>
      <c r="D106" s="17"/>
      <c r="J106" s="2" t="s">
        <v>544</v>
      </c>
    </row>
    <row r="107" spans="1:10" x14ac:dyDescent="0.25">
      <c r="A107" s="18" t="s">
        <v>684</v>
      </c>
      <c r="B107">
        <v>4.3861276276741856E-2</v>
      </c>
      <c r="C107" s="17">
        <f t="shared" si="1"/>
        <v>44771</v>
      </c>
      <c r="D107" s="17"/>
      <c r="J107" s="2" t="s">
        <v>131</v>
      </c>
    </row>
    <row r="108" spans="1:10" x14ac:dyDescent="0.25">
      <c r="A108" s="18" t="s">
        <v>1246</v>
      </c>
      <c r="B108">
        <v>4.4368564878118466E-2</v>
      </c>
      <c r="C108" s="17">
        <f t="shared" si="1"/>
        <v>44772</v>
      </c>
      <c r="D108" s="17"/>
      <c r="J108" s="2" t="s">
        <v>545</v>
      </c>
    </row>
    <row r="109" spans="1:10" x14ac:dyDescent="0.25">
      <c r="A109" s="18" t="s">
        <v>495</v>
      </c>
      <c r="B109">
        <v>4.4444121142831361E-2</v>
      </c>
      <c r="C109" s="17">
        <f t="shared" si="1"/>
        <v>44773</v>
      </c>
      <c r="D109" s="17"/>
      <c r="J109" s="2" t="s">
        <v>364</v>
      </c>
    </row>
    <row r="110" spans="1:10" x14ac:dyDescent="0.25">
      <c r="A110" s="18" t="s">
        <v>218</v>
      </c>
      <c r="B110">
        <v>4.6900338593057866E-2</v>
      </c>
      <c r="C110" s="17">
        <f t="shared" si="1"/>
        <v>44774</v>
      </c>
      <c r="D110" s="17"/>
      <c r="J110" s="2" t="s">
        <v>546</v>
      </c>
    </row>
    <row r="111" spans="1:10" x14ac:dyDescent="0.25">
      <c r="A111" s="18" t="s">
        <v>2159</v>
      </c>
      <c r="B111">
        <v>4.7065057683929545E-2</v>
      </c>
      <c r="C111" s="17">
        <f t="shared" si="1"/>
        <v>44775</v>
      </c>
      <c r="D111" s="17"/>
      <c r="J111" s="2" t="s">
        <v>547</v>
      </c>
    </row>
    <row r="112" spans="1:10" x14ac:dyDescent="0.25">
      <c r="A112" s="18" t="s">
        <v>41</v>
      </c>
      <c r="B112">
        <v>4.7141300646425077E-2</v>
      </c>
      <c r="C112" s="17">
        <f t="shared" si="1"/>
        <v>44776</v>
      </c>
      <c r="D112" s="17"/>
      <c r="J112" s="2" t="s">
        <v>548</v>
      </c>
    </row>
    <row r="113" spans="1:10" x14ac:dyDescent="0.25">
      <c r="A113" s="18" t="s">
        <v>412</v>
      </c>
      <c r="B113">
        <v>4.7250922492617198E-2</v>
      </c>
      <c r="C113" s="17">
        <f t="shared" si="1"/>
        <v>44777</v>
      </c>
      <c r="D113" s="17"/>
      <c r="J113" s="2" t="s">
        <v>239</v>
      </c>
    </row>
    <row r="114" spans="1:10" x14ac:dyDescent="0.25">
      <c r="A114" s="18" t="s">
        <v>410</v>
      </c>
      <c r="B114">
        <v>4.7317037944984985E-2</v>
      </c>
      <c r="C114" s="17">
        <f t="shared" si="1"/>
        <v>44778</v>
      </c>
      <c r="D114" s="17"/>
      <c r="J114" s="2" t="s">
        <v>16</v>
      </c>
    </row>
    <row r="115" spans="1:10" x14ac:dyDescent="0.25">
      <c r="A115" s="18" t="s">
        <v>2257</v>
      </c>
      <c r="B115">
        <v>4.7656553869149798E-2</v>
      </c>
      <c r="C115" s="17">
        <f t="shared" si="1"/>
        <v>44779</v>
      </c>
      <c r="D115" s="17"/>
      <c r="J115" s="2" t="s">
        <v>549</v>
      </c>
    </row>
    <row r="116" spans="1:10" x14ac:dyDescent="0.25">
      <c r="A116" s="18" t="s">
        <v>256</v>
      </c>
      <c r="B116">
        <v>4.8352921019424233E-2</v>
      </c>
      <c r="C116" s="17">
        <f t="shared" si="1"/>
        <v>44780</v>
      </c>
      <c r="D116" s="17"/>
      <c r="J116" s="2" t="s">
        <v>550</v>
      </c>
    </row>
    <row r="117" spans="1:10" x14ac:dyDescent="0.25">
      <c r="A117" s="18" t="s">
        <v>1556</v>
      </c>
      <c r="B117">
        <v>4.8486586472870408E-2</v>
      </c>
      <c r="C117" s="17">
        <f t="shared" si="1"/>
        <v>44781</v>
      </c>
      <c r="D117" s="17"/>
      <c r="J117" s="2" t="s">
        <v>551</v>
      </c>
    </row>
    <row r="118" spans="1:10" x14ac:dyDescent="0.25">
      <c r="A118" s="18" t="s">
        <v>881</v>
      </c>
      <c r="B118">
        <v>4.8818892914796908E-2</v>
      </c>
      <c r="C118" s="17">
        <f t="shared" si="1"/>
        <v>44782</v>
      </c>
      <c r="D118" s="17"/>
      <c r="J118" s="2" t="s">
        <v>552</v>
      </c>
    </row>
    <row r="119" spans="1:10" x14ac:dyDescent="0.25">
      <c r="A119" s="18" t="s">
        <v>264</v>
      </c>
      <c r="B119">
        <v>4.9721913801967554E-2</v>
      </c>
      <c r="C119" s="17">
        <f t="shared" si="1"/>
        <v>44783</v>
      </c>
      <c r="D119" s="17"/>
      <c r="J119" s="2" t="s">
        <v>260</v>
      </c>
    </row>
    <row r="120" spans="1:10" x14ac:dyDescent="0.25">
      <c r="A120" s="18" t="s">
        <v>879</v>
      </c>
      <c r="B120">
        <v>5.0154028485480118E-2</v>
      </c>
      <c r="C120" s="17">
        <f t="shared" si="1"/>
        <v>44784</v>
      </c>
      <c r="D120" s="17"/>
      <c r="J120" s="2" t="s">
        <v>553</v>
      </c>
    </row>
    <row r="121" spans="1:10" x14ac:dyDescent="0.25">
      <c r="A121" s="18" t="s">
        <v>1612</v>
      </c>
      <c r="B121">
        <v>5.0268461505790452E-2</v>
      </c>
      <c r="C121" s="17">
        <f t="shared" si="1"/>
        <v>44785</v>
      </c>
      <c r="D121" s="17"/>
      <c r="J121" s="2" t="s">
        <v>554</v>
      </c>
    </row>
    <row r="122" spans="1:10" x14ac:dyDescent="0.25">
      <c r="A122" s="18" t="s">
        <v>402</v>
      </c>
      <c r="B122">
        <v>5.0972402603952305E-2</v>
      </c>
      <c r="C122" s="17">
        <f t="shared" si="1"/>
        <v>44786</v>
      </c>
      <c r="D122" s="17"/>
      <c r="J122" s="2" t="s">
        <v>274</v>
      </c>
    </row>
    <row r="123" spans="1:10" x14ac:dyDescent="0.25">
      <c r="A123" s="18" t="s">
        <v>844</v>
      </c>
      <c r="B123">
        <v>5.0989679751595629E-2</v>
      </c>
      <c r="C123" s="17">
        <f t="shared" si="1"/>
        <v>44787</v>
      </c>
      <c r="D123" s="17"/>
      <c r="J123" s="2" t="s">
        <v>555</v>
      </c>
    </row>
    <row r="124" spans="1:10" x14ac:dyDescent="0.25">
      <c r="A124" s="18" t="s">
        <v>2117</v>
      </c>
      <c r="B124">
        <v>5.1056682181032764E-2</v>
      </c>
      <c r="C124" s="17">
        <f t="shared" si="1"/>
        <v>44788</v>
      </c>
      <c r="D124" s="17"/>
      <c r="J124" s="2" t="s">
        <v>556</v>
      </c>
    </row>
    <row r="125" spans="1:10" x14ac:dyDescent="0.25">
      <c r="A125" s="18" t="s">
        <v>1635</v>
      </c>
      <c r="B125">
        <v>5.1315133955516901E-2</v>
      </c>
      <c r="C125" s="17">
        <f t="shared" si="1"/>
        <v>44789</v>
      </c>
      <c r="D125" s="17"/>
      <c r="J125" s="2" t="s">
        <v>557</v>
      </c>
    </row>
    <row r="126" spans="1:10" x14ac:dyDescent="0.25">
      <c r="A126" s="18" t="s">
        <v>1905</v>
      </c>
      <c r="B126">
        <v>5.1546069066000788E-2</v>
      </c>
      <c r="C126" s="17">
        <f t="shared" si="1"/>
        <v>44790</v>
      </c>
      <c r="D126" s="17"/>
      <c r="J126" s="2" t="s">
        <v>558</v>
      </c>
    </row>
    <row r="127" spans="1:10" x14ac:dyDescent="0.25">
      <c r="A127" s="18" t="s">
        <v>115</v>
      </c>
      <c r="B127">
        <v>5.2442816413648785E-2</v>
      </c>
      <c r="C127" s="17">
        <f t="shared" si="1"/>
        <v>44791</v>
      </c>
      <c r="D127" s="17"/>
      <c r="J127" s="2" t="s">
        <v>559</v>
      </c>
    </row>
    <row r="128" spans="1:10" x14ac:dyDescent="0.25">
      <c r="A128" s="18" t="s">
        <v>2232</v>
      </c>
      <c r="B128">
        <v>5.2595056218530556E-2</v>
      </c>
      <c r="C128" s="17">
        <f t="shared" si="1"/>
        <v>44792</v>
      </c>
      <c r="D128" s="17"/>
      <c r="J128" s="2" t="s">
        <v>560</v>
      </c>
    </row>
    <row r="129" spans="1:10" x14ac:dyDescent="0.25">
      <c r="A129" s="18" t="s">
        <v>180</v>
      </c>
      <c r="B129">
        <v>5.2595914616271E-2</v>
      </c>
      <c r="C129" s="17">
        <f t="shared" si="1"/>
        <v>44793</v>
      </c>
      <c r="D129" s="17"/>
      <c r="J129" s="2" t="s">
        <v>561</v>
      </c>
    </row>
    <row r="130" spans="1:10" x14ac:dyDescent="0.25">
      <c r="A130" s="18" t="s">
        <v>1849</v>
      </c>
      <c r="B130">
        <v>5.2837838170822993E-2</v>
      </c>
      <c r="C130" s="17">
        <f t="shared" si="1"/>
        <v>44794</v>
      </c>
      <c r="D130" s="17"/>
      <c r="J130" s="2" t="s">
        <v>562</v>
      </c>
    </row>
    <row r="131" spans="1:10" x14ac:dyDescent="0.25">
      <c r="A131" s="18" t="s">
        <v>2105</v>
      </c>
      <c r="B131">
        <v>5.3415981375951382E-2</v>
      </c>
      <c r="C131" s="17">
        <f t="shared" si="1"/>
        <v>44795</v>
      </c>
      <c r="D131" s="17"/>
      <c r="J131" s="2" t="s">
        <v>111</v>
      </c>
    </row>
    <row r="132" spans="1:10" x14ac:dyDescent="0.25">
      <c r="A132" s="18" t="s">
        <v>1300</v>
      </c>
      <c r="B132">
        <v>5.4636757857296714E-2</v>
      </c>
      <c r="C132" s="17">
        <f t="shared" ref="C132:C195" si="2">C131+1</f>
        <v>44796</v>
      </c>
      <c r="D132" s="17"/>
      <c r="J132" s="2" t="s">
        <v>563</v>
      </c>
    </row>
    <row r="133" spans="1:10" x14ac:dyDescent="0.25">
      <c r="A133" s="18" t="s">
        <v>1735</v>
      </c>
      <c r="B133">
        <v>5.4800725972048214E-2</v>
      </c>
      <c r="C133" s="17">
        <f t="shared" si="2"/>
        <v>44797</v>
      </c>
      <c r="D133" s="17"/>
      <c r="J133" s="2" t="s">
        <v>564</v>
      </c>
    </row>
    <row r="134" spans="1:10" x14ac:dyDescent="0.25">
      <c r="A134" s="18" t="s">
        <v>2194</v>
      </c>
      <c r="B134">
        <v>5.5148242232430311E-2</v>
      </c>
      <c r="C134" s="17">
        <f t="shared" si="2"/>
        <v>44798</v>
      </c>
      <c r="D134" s="17"/>
      <c r="J134" s="2" t="s">
        <v>460</v>
      </c>
    </row>
    <row r="135" spans="1:10" x14ac:dyDescent="0.25">
      <c r="A135" s="18" t="s">
        <v>1687</v>
      </c>
      <c r="B135">
        <v>5.5213279674433013E-2</v>
      </c>
      <c r="C135" s="17">
        <f t="shared" si="2"/>
        <v>44799</v>
      </c>
      <c r="D135" s="17"/>
      <c r="J135" s="2" t="s">
        <v>565</v>
      </c>
    </row>
    <row r="136" spans="1:10" x14ac:dyDescent="0.25">
      <c r="A136" s="18" t="s">
        <v>1899</v>
      </c>
      <c r="B136">
        <v>5.5550668243182777E-2</v>
      </c>
      <c r="C136" s="17">
        <f t="shared" si="2"/>
        <v>44800</v>
      </c>
      <c r="D136" s="17"/>
      <c r="J136" s="2" t="s">
        <v>566</v>
      </c>
    </row>
    <row r="137" spans="1:10" x14ac:dyDescent="0.25">
      <c r="A137" s="18" t="s">
        <v>727</v>
      </c>
      <c r="B137">
        <v>5.659258234396003E-2</v>
      </c>
      <c r="C137" s="17">
        <f t="shared" si="2"/>
        <v>44801</v>
      </c>
      <c r="D137" s="17"/>
      <c r="J137" s="2" t="s">
        <v>567</v>
      </c>
    </row>
    <row r="138" spans="1:10" x14ac:dyDescent="0.25">
      <c r="A138" s="18" t="s">
        <v>1475</v>
      </c>
      <c r="B138">
        <v>5.6622130435030726E-2</v>
      </c>
      <c r="C138" s="17">
        <f t="shared" si="2"/>
        <v>44802</v>
      </c>
      <c r="D138" s="17"/>
      <c r="J138" s="2" t="s">
        <v>174</v>
      </c>
    </row>
    <row r="139" spans="1:10" x14ac:dyDescent="0.25">
      <c r="A139" s="18" t="s">
        <v>1159</v>
      </c>
      <c r="B139">
        <v>5.6641445834045845E-2</v>
      </c>
      <c r="C139" s="17">
        <f t="shared" si="2"/>
        <v>44803</v>
      </c>
      <c r="D139" s="17"/>
      <c r="J139" s="2" t="s">
        <v>568</v>
      </c>
    </row>
    <row r="140" spans="1:10" x14ac:dyDescent="0.25">
      <c r="A140" s="18" t="s">
        <v>1499</v>
      </c>
      <c r="B140">
        <v>5.7069766867873462E-2</v>
      </c>
      <c r="C140" s="17">
        <f t="shared" si="2"/>
        <v>44804</v>
      </c>
      <c r="D140" s="17"/>
      <c r="J140" s="2" t="s">
        <v>569</v>
      </c>
    </row>
    <row r="141" spans="1:10" x14ac:dyDescent="0.25">
      <c r="A141" s="18" t="s">
        <v>301</v>
      </c>
      <c r="B141">
        <v>5.7110982658898246E-2</v>
      </c>
      <c r="C141" s="17">
        <f t="shared" si="2"/>
        <v>44805</v>
      </c>
      <c r="D141" s="17"/>
      <c r="J141" s="2" t="s">
        <v>570</v>
      </c>
    </row>
    <row r="142" spans="1:10" x14ac:dyDescent="0.25">
      <c r="A142" s="18" t="s">
        <v>2226</v>
      </c>
      <c r="B142">
        <v>5.7181615403173791E-2</v>
      </c>
      <c r="C142" s="17">
        <f t="shared" si="2"/>
        <v>44806</v>
      </c>
      <c r="D142" s="17"/>
      <c r="J142" s="2" t="s">
        <v>88</v>
      </c>
    </row>
    <row r="143" spans="1:10" x14ac:dyDescent="0.25">
      <c r="A143" s="18" t="s">
        <v>1377</v>
      </c>
      <c r="B143">
        <v>5.7323259847857133E-2</v>
      </c>
      <c r="C143" s="17">
        <f t="shared" si="2"/>
        <v>44807</v>
      </c>
      <c r="D143" s="17"/>
      <c r="J143" s="2" t="s">
        <v>571</v>
      </c>
    </row>
    <row r="144" spans="1:10" x14ac:dyDescent="0.25">
      <c r="A144" s="18" t="s">
        <v>1407</v>
      </c>
      <c r="B144">
        <v>5.7699848182595548E-2</v>
      </c>
      <c r="C144" s="17">
        <f t="shared" si="2"/>
        <v>44808</v>
      </c>
      <c r="D144" s="17"/>
      <c r="J144" s="2" t="s">
        <v>572</v>
      </c>
    </row>
    <row r="145" spans="1:10" x14ac:dyDescent="0.25">
      <c r="A145" s="18" t="s">
        <v>1223</v>
      </c>
      <c r="B145">
        <v>5.8069602791665842E-2</v>
      </c>
      <c r="C145" s="17">
        <f t="shared" si="2"/>
        <v>44809</v>
      </c>
      <c r="D145" s="17"/>
      <c r="J145" s="2" t="s">
        <v>573</v>
      </c>
    </row>
    <row r="146" spans="1:10" x14ac:dyDescent="0.25">
      <c r="A146" s="18" t="s">
        <v>1232</v>
      </c>
      <c r="B146">
        <v>5.8317414233650444E-2</v>
      </c>
      <c r="C146" s="17">
        <f t="shared" si="2"/>
        <v>44810</v>
      </c>
      <c r="D146" s="17"/>
      <c r="J146" s="2" t="s">
        <v>176</v>
      </c>
    </row>
    <row r="147" spans="1:10" x14ac:dyDescent="0.25">
      <c r="A147" s="18" t="s">
        <v>2090</v>
      </c>
      <c r="B147">
        <v>5.8857943276704239E-2</v>
      </c>
      <c r="C147" s="17">
        <f t="shared" si="2"/>
        <v>44811</v>
      </c>
      <c r="D147" s="17"/>
      <c r="J147" s="2" t="s">
        <v>574</v>
      </c>
    </row>
    <row r="148" spans="1:10" x14ac:dyDescent="0.25">
      <c r="A148" s="18" t="s">
        <v>2241</v>
      </c>
      <c r="B148">
        <v>5.8915340098736224E-2</v>
      </c>
      <c r="C148" s="17">
        <f t="shared" si="2"/>
        <v>44812</v>
      </c>
      <c r="D148" s="17"/>
      <c r="J148" s="2" t="s">
        <v>34</v>
      </c>
    </row>
    <row r="149" spans="1:10" x14ac:dyDescent="0.25">
      <c r="A149" s="18" t="s">
        <v>172</v>
      </c>
      <c r="B149">
        <v>5.8937212293213137E-2</v>
      </c>
      <c r="C149" s="17">
        <f t="shared" si="2"/>
        <v>44813</v>
      </c>
      <c r="D149" s="17"/>
      <c r="J149" s="2" t="s">
        <v>351</v>
      </c>
    </row>
    <row r="150" spans="1:10" x14ac:dyDescent="0.25">
      <c r="A150" s="18" t="s">
        <v>2115</v>
      </c>
      <c r="B150">
        <v>5.9048844977556914E-2</v>
      </c>
      <c r="C150" s="17">
        <f t="shared" si="2"/>
        <v>44814</v>
      </c>
      <c r="D150" s="17"/>
      <c r="J150" s="2" t="s">
        <v>575</v>
      </c>
    </row>
    <row r="151" spans="1:10" x14ac:dyDescent="0.25">
      <c r="A151" s="18" t="s">
        <v>2302</v>
      </c>
      <c r="B151">
        <v>5.9160821690039112E-2</v>
      </c>
      <c r="C151" s="17">
        <f t="shared" si="2"/>
        <v>44815</v>
      </c>
      <c r="D151" s="17"/>
      <c r="J151" s="2" t="s">
        <v>576</v>
      </c>
    </row>
    <row r="152" spans="1:10" x14ac:dyDescent="0.25">
      <c r="A152" s="18" t="s">
        <v>1139</v>
      </c>
      <c r="B152">
        <v>5.9383664299978212E-2</v>
      </c>
      <c r="C152" s="17">
        <f t="shared" si="2"/>
        <v>44816</v>
      </c>
      <c r="D152" s="17"/>
      <c r="J152" s="2" t="s">
        <v>577</v>
      </c>
    </row>
    <row r="153" spans="1:10" x14ac:dyDescent="0.25">
      <c r="A153" s="18" t="s">
        <v>876</v>
      </c>
      <c r="B153">
        <v>5.9547172754176425E-2</v>
      </c>
      <c r="C153" s="17">
        <f t="shared" si="2"/>
        <v>44817</v>
      </c>
      <c r="D153" s="17"/>
      <c r="J153" s="2" t="s">
        <v>578</v>
      </c>
    </row>
    <row r="154" spans="1:10" x14ac:dyDescent="0.25">
      <c r="A154" s="18" t="s">
        <v>588</v>
      </c>
      <c r="B154">
        <v>6.0159282978022866E-2</v>
      </c>
      <c r="C154" s="17">
        <f t="shared" si="2"/>
        <v>44818</v>
      </c>
      <c r="D154" s="17"/>
      <c r="J154" s="2" t="s">
        <v>579</v>
      </c>
    </row>
    <row r="155" spans="1:10" x14ac:dyDescent="0.25">
      <c r="A155" s="18" t="s">
        <v>2292</v>
      </c>
      <c r="B155">
        <v>6.0951767148401115E-2</v>
      </c>
      <c r="C155" s="17">
        <f t="shared" si="2"/>
        <v>44819</v>
      </c>
      <c r="D155" s="17"/>
      <c r="J155" s="2" t="s">
        <v>580</v>
      </c>
    </row>
    <row r="156" spans="1:10" x14ac:dyDescent="0.25">
      <c r="A156" s="18" t="s">
        <v>1464</v>
      </c>
      <c r="B156">
        <v>6.1372908806549886E-2</v>
      </c>
      <c r="C156" s="17">
        <f t="shared" si="2"/>
        <v>44820</v>
      </c>
      <c r="D156" s="17"/>
      <c r="J156" s="2" t="s">
        <v>581</v>
      </c>
    </row>
    <row r="157" spans="1:10" x14ac:dyDescent="0.25">
      <c r="A157" s="18" t="s">
        <v>712</v>
      </c>
      <c r="B157">
        <v>6.2303197130261556E-2</v>
      </c>
      <c r="C157" s="17">
        <f t="shared" si="2"/>
        <v>44821</v>
      </c>
      <c r="D157" s="17"/>
      <c r="J157" s="2" t="s">
        <v>297</v>
      </c>
    </row>
    <row r="158" spans="1:10" x14ac:dyDescent="0.25">
      <c r="A158" s="18" t="s">
        <v>188</v>
      </c>
      <c r="B158">
        <v>6.2872837833900075E-2</v>
      </c>
      <c r="C158" s="17">
        <f t="shared" si="2"/>
        <v>44822</v>
      </c>
      <c r="D158" s="17"/>
      <c r="J158" s="2" t="s">
        <v>582</v>
      </c>
    </row>
    <row r="159" spans="1:10" x14ac:dyDescent="0.25">
      <c r="A159" s="18" t="s">
        <v>362</v>
      </c>
      <c r="B159">
        <v>6.3125107678798087E-2</v>
      </c>
      <c r="C159" s="17">
        <f t="shared" si="2"/>
        <v>44823</v>
      </c>
      <c r="D159" s="17"/>
      <c r="J159" s="2" t="s">
        <v>583</v>
      </c>
    </row>
    <row r="160" spans="1:10" x14ac:dyDescent="0.25">
      <c r="A160" s="18" t="s">
        <v>2185</v>
      </c>
      <c r="B160">
        <v>6.3853231898512441E-2</v>
      </c>
      <c r="C160" s="17">
        <f t="shared" si="2"/>
        <v>44824</v>
      </c>
      <c r="D160" s="17"/>
      <c r="J160" s="2" t="s">
        <v>584</v>
      </c>
    </row>
    <row r="161" spans="1:10" x14ac:dyDescent="0.25">
      <c r="A161" s="18" t="s">
        <v>1126</v>
      </c>
      <c r="B161">
        <v>6.3907608130225002E-2</v>
      </c>
      <c r="C161" s="17">
        <f t="shared" si="2"/>
        <v>44825</v>
      </c>
      <c r="D161" s="17"/>
      <c r="J161" s="2" t="s">
        <v>585</v>
      </c>
    </row>
    <row r="162" spans="1:10" x14ac:dyDescent="0.25">
      <c r="A162" s="18" t="s">
        <v>2221</v>
      </c>
      <c r="B162">
        <v>6.3949064976393633E-2</v>
      </c>
      <c r="C162" s="17">
        <f t="shared" si="2"/>
        <v>44826</v>
      </c>
      <c r="D162" s="17"/>
      <c r="J162" s="2" t="s">
        <v>84</v>
      </c>
    </row>
    <row r="163" spans="1:10" x14ac:dyDescent="0.25">
      <c r="A163" s="18" t="s">
        <v>2040</v>
      </c>
      <c r="B163">
        <v>6.4196189390570702E-2</v>
      </c>
      <c r="C163" s="17">
        <f t="shared" si="2"/>
        <v>44827</v>
      </c>
      <c r="D163" s="17"/>
      <c r="J163" s="2" t="s">
        <v>586</v>
      </c>
    </row>
    <row r="164" spans="1:10" x14ac:dyDescent="0.25">
      <c r="A164" s="18" t="s">
        <v>378</v>
      </c>
      <c r="B164">
        <v>6.5672075543482977E-2</v>
      </c>
      <c r="C164" s="17">
        <f t="shared" si="2"/>
        <v>44828</v>
      </c>
      <c r="D164" s="17"/>
      <c r="J164" s="2" t="s">
        <v>381</v>
      </c>
    </row>
    <row r="165" spans="1:10" x14ac:dyDescent="0.25">
      <c r="A165" s="18" t="s">
        <v>1148</v>
      </c>
      <c r="B165">
        <v>6.6490103091622843E-2</v>
      </c>
      <c r="C165" s="17">
        <f t="shared" si="2"/>
        <v>44829</v>
      </c>
      <c r="D165" s="17"/>
      <c r="J165" s="2" t="s">
        <v>292</v>
      </c>
    </row>
    <row r="166" spans="1:10" x14ac:dyDescent="0.25">
      <c r="A166" s="18" t="s">
        <v>373</v>
      </c>
      <c r="B166">
        <v>6.6554791202323216E-2</v>
      </c>
      <c r="C166" s="17">
        <f t="shared" si="2"/>
        <v>44830</v>
      </c>
      <c r="D166" s="17"/>
      <c r="J166" s="2" t="s">
        <v>56</v>
      </c>
    </row>
    <row r="167" spans="1:10" x14ac:dyDescent="0.25">
      <c r="A167" s="18" t="s">
        <v>1083</v>
      </c>
      <c r="B167">
        <v>6.6628367316586945E-2</v>
      </c>
      <c r="C167" s="17">
        <f t="shared" si="2"/>
        <v>44831</v>
      </c>
      <c r="D167" s="17"/>
      <c r="J167" s="2" t="s">
        <v>357</v>
      </c>
    </row>
    <row r="168" spans="1:10" x14ac:dyDescent="0.25">
      <c r="A168" s="18" t="s">
        <v>1927</v>
      </c>
      <c r="B168">
        <v>6.6632771536291435E-2</v>
      </c>
      <c r="C168" s="17">
        <f t="shared" si="2"/>
        <v>44832</v>
      </c>
      <c r="D168" s="17"/>
      <c r="J168" s="2" t="s">
        <v>587</v>
      </c>
    </row>
    <row r="169" spans="1:10" x14ac:dyDescent="0.25">
      <c r="A169" s="18" t="s">
        <v>2296</v>
      </c>
      <c r="B169">
        <v>6.7108181018950108E-2</v>
      </c>
      <c r="C169" s="17">
        <f t="shared" si="2"/>
        <v>44833</v>
      </c>
      <c r="D169" s="17"/>
      <c r="J169" s="2" t="s">
        <v>588</v>
      </c>
    </row>
    <row r="170" spans="1:10" x14ac:dyDescent="0.25">
      <c r="A170" s="18" t="s">
        <v>1103</v>
      </c>
      <c r="B170">
        <v>6.73171214857331E-2</v>
      </c>
      <c r="C170" s="17">
        <f t="shared" si="2"/>
        <v>44834</v>
      </c>
      <c r="D170" s="17"/>
      <c r="J170" s="2" t="s">
        <v>589</v>
      </c>
    </row>
    <row r="171" spans="1:10" x14ac:dyDescent="0.25">
      <c r="A171" s="18" t="s">
        <v>1273</v>
      </c>
      <c r="B171">
        <v>6.8322639359822745E-2</v>
      </c>
      <c r="C171" s="17">
        <f t="shared" si="2"/>
        <v>44835</v>
      </c>
      <c r="D171" s="17"/>
      <c r="J171" s="2" t="s">
        <v>590</v>
      </c>
    </row>
    <row r="172" spans="1:10" x14ac:dyDescent="0.25">
      <c r="A172" s="18" t="s">
        <v>784</v>
      </c>
      <c r="B172">
        <v>6.8567331898191308E-2</v>
      </c>
      <c r="C172" s="17">
        <f t="shared" si="2"/>
        <v>44836</v>
      </c>
      <c r="D172" s="17"/>
      <c r="J172" s="2" t="s">
        <v>591</v>
      </c>
    </row>
    <row r="173" spans="1:10" x14ac:dyDescent="0.25">
      <c r="A173" s="18" t="s">
        <v>1448</v>
      </c>
      <c r="B173">
        <v>6.8832388590286064E-2</v>
      </c>
      <c r="C173" s="17">
        <f t="shared" si="2"/>
        <v>44837</v>
      </c>
      <c r="D173" s="17"/>
      <c r="J173" s="2" t="s">
        <v>592</v>
      </c>
    </row>
    <row r="174" spans="1:10" x14ac:dyDescent="0.25">
      <c r="A174" s="18" t="s">
        <v>1152</v>
      </c>
      <c r="B174">
        <v>6.8859602761769834E-2</v>
      </c>
      <c r="C174" s="17">
        <f t="shared" si="2"/>
        <v>44838</v>
      </c>
      <c r="D174" s="17"/>
      <c r="J174" s="2" t="s">
        <v>53</v>
      </c>
    </row>
    <row r="175" spans="1:10" x14ac:dyDescent="0.25">
      <c r="A175" s="18" t="s">
        <v>1400</v>
      </c>
      <c r="B175">
        <v>6.9520459902084442E-2</v>
      </c>
      <c r="C175" s="17">
        <f t="shared" si="2"/>
        <v>44839</v>
      </c>
      <c r="D175" s="17"/>
      <c r="J175" s="2" t="s">
        <v>593</v>
      </c>
    </row>
    <row r="176" spans="1:10" x14ac:dyDescent="0.25">
      <c r="A176" s="18" t="s">
        <v>181</v>
      </c>
      <c r="B176">
        <v>7.0965868320545078E-2</v>
      </c>
      <c r="C176" s="17">
        <f t="shared" si="2"/>
        <v>44840</v>
      </c>
      <c r="D176" s="17"/>
      <c r="J176" s="2" t="s">
        <v>594</v>
      </c>
    </row>
    <row r="177" spans="1:10" x14ac:dyDescent="0.25">
      <c r="A177" s="18" t="s">
        <v>858</v>
      </c>
      <c r="B177">
        <v>7.1511842239661672E-2</v>
      </c>
      <c r="C177" s="17">
        <f t="shared" si="2"/>
        <v>44841</v>
      </c>
      <c r="D177" s="17"/>
      <c r="J177" s="2" t="s">
        <v>595</v>
      </c>
    </row>
    <row r="178" spans="1:10" x14ac:dyDescent="0.25">
      <c r="A178" s="18" t="s">
        <v>2014</v>
      </c>
      <c r="B178">
        <v>7.2065292996944752E-2</v>
      </c>
      <c r="C178" s="17">
        <f t="shared" si="2"/>
        <v>44842</v>
      </c>
      <c r="D178" s="17"/>
      <c r="J178" s="2" t="s">
        <v>596</v>
      </c>
    </row>
    <row r="179" spans="1:10" x14ac:dyDescent="0.25">
      <c r="A179" s="18" t="s">
        <v>36</v>
      </c>
      <c r="B179">
        <v>7.2334484475860106E-2</v>
      </c>
      <c r="C179" s="17">
        <f t="shared" si="2"/>
        <v>44843</v>
      </c>
      <c r="D179" s="17"/>
      <c r="J179" s="2" t="s">
        <v>597</v>
      </c>
    </row>
    <row r="180" spans="1:10" x14ac:dyDescent="0.25">
      <c r="A180" s="18" t="s">
        <v>1856</v>
      </c>
      <c r="B180">
        <v>7.2559861728155539E-2</v>
      </c>
      <c r="C180" s="17">
        <f t="shared" si="2"/>
        <v>44844</v>
      </c>
      <c r="D180" s="17"/>
      <c r="J180" s="2" t="s">
        <v>445</v>
      </c>
    </row>
    <row r="181" spans="1:10" x14ac:dyDescent="0.25">
      <c r="A181" s="18" t="s">
        <v>1242</v>
      </c>
      <c r="B181">
        <v>7.2608127723757132E-2</v>
      </c>
      <c r="C181" s="17">
        <f t="shared" si="2"/>
        <v>44845</v>
      </c>
      <c r="D181" s="17"/>
      <c r="J181" s="2" t="s">
        <v>418</v>
      </c>
    </row>
    <row r="182" spans="1:10" x14ac:dyDescent="0.25">
      <c r="A182" s="18" t="s">
        <v>2033</v>
      </c>
      <c r="B182">
        <v>7.3640760458698717E-2</v>
      </c>
      <c r="C182" s="17">
        <f t="shared" si="2"/>
        <v>44846</v>
      </c>
      <c r="D182" s="17"/>
      <c r="J182" s="2" t="s">
        <v>598</v>
      </c>
    </row>
    <row r="183" spans="1:10" x14ac:dyDescent="0.25">
      <c r="A183" s="18" t="s">
        <v>1434</v>
      </c>
      <c r="B183">
        <v>7.3794669574144489E-2</v>
      </c>
      <c r="C183" s="17">
        <f t="shared" si="2"/>
        <v>44847</v>
      </c>
      <c r="D183" s="17"/>
      <c r="J183" s="2" t="s">
        <v>599</v>
      </c>
    </row>
    <row r="184" spans="1:10" x14ac:dyDescent="0.25">
      <c r="A184" s="18" t="s">
        <v>1520</v>
      </c>
      <c r="B184">
        <v>7.4048582448939859E-2</v>
      </c>
      <c r="C184" s="17">
        <f t="shared" si="2"/>
        <v>44848</v>
      </c>
      <c r="D184" s="17"/>
      <c r="J184" s="2" t="s">
        <v>600</v>
      </c>
    </row>
    <row r="185" spans="1:10" x14ac:dyDescent="0.25">
      <c r="A185" s="18" t="s">
        <v>975</v>
      </c>
      <c r="B185">
        <v>7.5283892103471195E-2</v>
      </c>
      <c r="C185" s="17">
        <f t="shared" si="2"/>
        <v>44849</v>
      </c>
      <c r="D185" s="17"/>
      <c r="J185" s="2" t="s">
        <v>601</v>
      </c>
    </row>
    <row r="186" spans="1:10" x14ac:dyDescent="0.25">
      <c r="A186" s="18" t="s">
        <v>1760</v>
      </c>
      <c r="B186">
        <v>7.5776226950039716E-2</v>
      </c>
      <c r="C186" s="17">
        <f t="shared" si="2"/>
        <v>44850</v>
      </c>
      <c r="D186" s="17"/>
      <c r="J186" s="2" t="s">
        <v>602</v>
      </c>
    </row>
    <row r="187" spans="1:10" x14ac:dyDescent="0.25">
      <c r="A187" s="18" t="s">
        <v>436</v>
      </c>
      <c r="B187">
        <v>7.5857513477541105E-2</v>
      </c>
      <c r="C187" s="17">
        <f t="shared" si="2"/>
        <v>44851</v>
      </c>
      <c r="D187" s="17"/>
      <c r="J187" s="2" t="s">
        <v>603</v>
      </c>
    </row>
    <row r="188" spans="1:10" x14ac:dyDescent="0.25">
      <c r="A188" s="18" t="s">
        <v>1551</v>
      </c>
      <c r="B188">
        <v>7.637377348094232E-2</v>
      </c>
      <c r="C188" s="17">
        <f t="shared" si="2"/>
        <v>44852</v>
      </c>
      <c r="D188" s="17"/>
      <c r="J188" s="2" t="s">
        <v>604</v>
      </c>
    </row>
    <row r="189" spans="1:10" x14ac:dyDescent="0.25">
      <c r="A189" s="18" t="s">
        <v>444</v>
      </c>
      <c r="B189">
        <v>7.7088546582224304E-2</v>
      </c>
      <c r="C189" s="17">
        <f t="shared" si="2"/>
        <v>44853</v>
      </c>
      <c r="D189" s="17"/>
      <c r="J189" s="2" t="s">
        <v>605</v>
      </c>
    </row>
    <row r="190" spans="1:10" x14ac:dyDescent="0.25">
      <c r="A190" s="18" t="s">
        <v>1548</v>
      </c>
      <c r="B190">
        <v>7.7094624899885944E-2</v>
      </c>
      <c r="C190" s="17">
        <f t="shared" si="2"/>
        <v>44854</v>
      </c>
      <c r="D190" s="17"/>
      <c r="J190" s="2" t="s">
        <v>606</v>
      </c>
    </row>
    <row r="191" spans="1:10" x14ac:dyDescent="0.25">
      <c r="A191" s="18" t="s">
        <v>222</v>
      </c>
      <c r="B191">
        <v>7.7112736024747996E-2</v>
      </c>
      <c r="C191" s="17">
        <f t="shared" si="2"/>
        <v>44855</v>
      </c>
      <c r="D191" s="17"/>
      <c r="J191" s="2" t="s">
        <v>607</v>
      </c>
    </row>
    <row r="192" spans="1:10" x14ac:dyDescent="0.25">
      <c r="A192" s="18" t="s">
        <v>1135</v>
      </c>
      <c r="B192">
        <v>7.7282344585999252E-2</v>
      </c>
      <c r="C192" s="17">
        <f t="shared" si="2"/>
        <v>44856</v>
      </c>
      <c r="D192" s="17"/>
      <c r="J192" s="2" t="s">
        <v>608</v>
      </c>
    </row>
    <row r="193" spans="1:10" x14ac:dyDescent="0.25">
      <c r="A193" s="18" t="s">
        <v>634</v>
      </c>
      <c r="B193">
        <v>7.7710414474059464E-2</v>
      </c>
      <c r="C193" s="17">
        <f t="shared" si="2"/>
        <v>44857</v>
      </c>
      <c r="D193" s="17"/>
      <c r="J193" s="2" t="s">
        <v>609</v>
      </c>
    </row>
    <row r="194" spans="1:10" x14ac:dyDescent="0.25">
      <c r="A194" s="18" t="s">
        <v>1153</v>
      </c>
      <c r="B194">
        <v>7.7730772276777604E-2</v>
      </c>
      <c r="C194" s="17">
        <f t="shared" si="2"/>
        <v>44858</v>
      </c>
      <c r="D194" s="17"/>
      <c r="J194" s="2" t="s">
        <v>28</v>
      </c>
    </row>
    <row r="195" spans="1:10" x14ac:dyDescent="0.25">
      <c r="A195" s="18" t="s">
        <v>1008</v>
      </c>
      <c r="B195">
        <v>7.8475436345447513E-2</v>
      </c>
      <c r="C195" s="17">
        <f t="shared" si="2"/>
        <v>44859</v>
      </c>
      <c r="D195" s="17"/>
      <c r="J195" s="2" t="s">
        <v>610</v>
      </c>
    </row>
    <row r="196" spans="1:10" x14ac:dyDescent="0.25">
      <c r="A196" s="18" t="s">
        <v>1777</v>
      </c>
      <c r="B196">
        <v>7.8522146259081382E-2</v>
      </c>
      <c r="C196" s="17">
        <f t="shared" ref="C196:C259" si="3">C195+1</f>
        <v>44860</v>
      </c>
      <c r="D196" s="17"/>
      <c r="J196" s="2" t="s">
        <v>611</v>
      </c>
    </row>
    <row r="197" spans="1:10" x14ac:dyDescent="0.25">
      <c r="A197" s="18" t="s">
        <v>474</v>
      </c>
      <c r="B197">
        <v>7.9226346525275937E-2</v>
      </c>
      <c r="C197" s="17">
        <f t="shared" si="3"/>
        <v>44861</v>
      </c>
      <c r="D197" s="17"/>
      <c r="J197" s="2" t="s">
        <v>612</v>
      </c>
    </row>
    <row r="198" spans="1:10" x14ac:dyDescent="0.25">
      <c r="A198" s="18" t="s">
        <v>2031</v>
      </c>
      <c r="B198">
        <v>7.9230745865319196E-2</v>
      </c>
      <c r="C198" s="17">
        <f t="shared" si="3"/>
        <v>44862</v>
      </c>
      <c r="D198" s="17"/>
      <c r="J198" s="2" t="s">
        <v>613</v>
      </c>
    </row>
    <row r="199" spans="1:10" x14ac:dyDescent="0.25">
      <c r="A199" s="18" t="s">
        <v>177</v>
      </c>
      <c r="B199">
        <v>7.9506728110694813E-2</v>
      </c>
      <c r="C199" s="17">
        <f t="shared" si="3"/>
        <v>44863</v>
      </c>
      <c r="D199" s="17"/>
      <c r="J199" s="2" t="s">
        <v>614</v>
      </c>
    </row>
    <row r="200" spans="1:10" x14ac:dyDescent="0.25">
      <c r="A200" s="18" t="s">
        <v>1566</v>
      </c>
      <c r="B200">
        <v>8.0460096015735894E-2</v>
      </c>
      <c r="C200" s="17">
        <f t="shared" si="3"/>
        <v>44864</v>
      </c>
      <c r="D200" s="17"/>
      <c r="J200" s="2" t="s">
        <v>615</v>
      </c>
    </row>
    <row r="201" spans="1:10" x14ac:dyDescent="0.25">
      <c r="A201" s="18" t="s">
        <v>609</v>
      </c>
      <c r="B201">
        <v>8.1801397395901976E-2</v>
      </c>
      <c r="C201" s="17">
        <f t="shared" si="3"/>
        <v>44865</v>
      </c>
      <c r="D201" s="17"/>
      <c r="J201" s="2" t="s">
        <v>616</v>
      </c>
    </row>
    <row r="202" spans="1:10" x14ac:dyDescent="0.25">
      <c r="A202" s="18" t="s">
        <v>1722</v>
      </c>
      <c r="B202">
        <v>8.2076068505432143E-2</v>
      </c>
      <c r="C202" s="17">
        <f t="shared" si="3"/>
        <v>44866</v>
      </c>
      <c r="D202" s="17"/>
      <c r="J202" s="2" t="s">
        <v>617</v>
      </c>
    </row>
    <row r="203" spans="1:10" x14ac:dyDescent="0.25">
      <c r="A203" s="18" t="s">
        <v>1829</v>
      </c>
      <c r="B203">
        <v>8.2814254517253771E-2</v>
      </c>
      <c r="C203" s="17">
        <f t="shared" si="3"/>
        <v>44867</v>
      </c>
      <c r="D203" s="17"/>
      <c r="J203" s="2" t="s">
        <v>618</v>
      </c>
    </row>
    <row r="204" spans="1:10" x14ac:dyDescent="0.25">
      <c r="A204" s="18" t="s">
        <v>1304</v>
      </c>
      <c r="B204">
        <v>8.29515031493957E-2</v>
      </c>
      <c r="C204" s="17">
        <f t="shared" si="3"/>
        <v>44868</v>
      </c>
      <c r="D204" s="17"/>
      <c r="J204" s="2" t="s">
        <v>619</v>
      </c>
    </row>
    <row r="205" spans="1:10" x14ac:dyDescent="0.25">
      <c r="A205" s="18" t="s">
        <v>2039</v>
      </c>
      <c r="B205">
        <v>8.3224527506391088E-2</v>
      </c>
      <c r="C205" s="17">
        <f t="shared" si="3"/>
        <v>44869</v>
      </c>
      <c r="D205" s="17"/>
      <c r="J205" s="2" t="s">
        <v>620</v>
      </c>
    </row>
    <row r="206" spans="1:10" x14ac:dyDescent="0.25">
      <c r="A206" s="18" t="s">
        <v>253</v>
      </c>
      <c r="B206">
        <v>8.419847133079339E-2</v>
      </c>
      <c r="C206" s="17">
        <f t="shared" si="3"/>
        <v>44870</v>
      </c>
      <c r="D206" s="17"/>
      <c r="J206" s="2" t="s">
        <v>621</v>
      </c>
    </row>
    <row r="207" spans="1:10" x14ac:dyDescent="0.25">
      <c r="A207" s="18" t="s">
        <v>986</v>
      </c>
      <c r="B207">
        <v>8.4908148066995093E-2</v>
      </c>
      <c r="C207" s="17">
        <f t="shared" si="3"/>
        <v>44871</v>
      </c>
      <c r="D207" s="17"/>
      <c r="J207" s="2" t="s">
        <v>622</v>
      </c>
    </row>
    <row r="208" spans="1:10" x14ac:dyDescent="0.25">
      <c r="A208" s="18" t="s">
        <v>1334</v>
      </c>
      <c r="B208">
        <v>8.5009730042682974E-2</v>
      </c>
      <c r="C208" s="17">
        <f t="shared" si="3"/>
        <v>44872</v>
      </c>
      <c r="D208" s="17"/>
      <c r="J208" s="2" t="s">
        <v>116</v>
      </c>
    </row>
    <row r="209" spans="1:10" x14ac:dyDescent="0.25">
      <c r="A209" s="18" t="s">
        <v>2162</v>
      </c>
      <c r="B209">
        <v>8.51091559640198E-2</v>
      </c>
      <c r="C209" s="17">
        <f t="shared" si="3"/>
        <v>44873</v>
      </c>
      <c r="D209" s="17"/>
      <c r="J209" s="2" t="s">
        <v>139</v>
      </c>
    </row>
    <row r="210" spans="1:10" x14ac:dyDescent="0.25">
      <c r="A210" s="18" t="s">
        <v>1956</v>
      </c>
      <c r="B210">
        <v>8.5152751555383266E-2</v>
      </c>
      <c r="C210" s="17">
        <f t="shared" si="3"/>
        <v>44874</v>
      </c>
      <c r="D210" s="17"/>
      <c r="J210" s="2" t="s">
        <v>623</v>
      </c>
    </row>
    <row r="211" spans="1:10" x14ac:dyDescent="0.25">
      <c r="A211" s="18" t="s">
        <v>907</v>
      </c>
      <c r="B211">
        <v>8.5872187852790605E-2</v>
      </c>
      <c r="C211" s="17">
        <f t="shared" si="3"/>
        <v>44875</v>
      </c>
      <c r="D211" s="17"/>
      <c r="J211" s="2" t="s">
        <v>624</v>
      </c>
    </row>
    <row r="212" spans="1:10" x14ac:dyDescent="0.25">
      <c r="A212" s="18" t="s">
        <v>917</v>
      </c>
      <c r="B212">
        <v>8.6445600019140256E-2</v>
      </c>
      <c r="C212" s="17">
        <f t="shared" si="3"/>
        <v>44876</v>
      </c>
      <c r="D212" s="17"/>
      <c r="J212" s="2" t="s">
        <v>625</v>
      </c>
    </row>
    <row r="213" spans="1:10" x14ac:dyDescent="0.25">
      <c r="A213" s="18" t="s">
        <v>2233</v>
      </c>
      <c r="B213">
        <v>8.6640782126450766E-2</v>
      </c>
      <c r="C213" s="17">
        <f t="shared" si="3"/>
        <v>44877</v>
      </c>
      <c r="D213" s="17"/>
      <c r="J213" s="2" t="s">
        <v>355</v>
      </c>
    </row>
    <row r="214" spans="1:10" x14ac:dyDescent="0.25">
      <c r="A214" s="18" t="s">
        <v>1765</v>
      </c>
      <c r="B214">
        <v>8.6762574296412875E-2</v>
      </c>
      <c r="C214" s="17">
        <f t="shared" si="3"/>
        <v>44878</v>
      </c>
      <c r="D214" s="17"/>
      <c r="J214" s="2" t="s">
        <v>626</v>
      </c>
    </row>
    <row r="215" spans="1:10" x14ac:dyDescent="0.25">
      <c r="A215" s="18" t="s">
        <v>1132</v>
      </c>
      <c r="B215">
        <v>8.9090199323173302E-2</v>
      </c>
      <c r="C215" s="17">
        <f t="shared" si="3"/>
        <v>44879</v>
      </c>
      <c r="D215" s="17"/>
      <c r="J215" s="2" t="s">
        <v>627</v>
      </c>
    </row>
    <row r="216" spans="1:10" x14ac:dyDescent="0.25">
      <c r="A216" s="18" t="s">
        <v>1532</v>
      </c>
      <c r="B216">
        <v>8.9136921600266539E-2</v>
      </c>
      <c r="C216" s="17">
        <f t="shared" si="3"/>
        <v>44880</v>
      </c>
      <c r="D216" s="17"/>
      <c r="J216" s="2" t="s">
        <v>280</v>
      </c>
    </row>
    <row r="217" spans="1:10" x14ac:dyDescent="0.25">
      <c r="A217" s="18" t="s">
        <v>1101</v>
      </c>
      <c r="B217">
        <v>8.9468169732927594E-2</v>
      </c>
      <c r="C217" s="17">
        <f t="shared" si="3"/>
        <v>44881</v>
      </c>
      <c r="D217" s="17"/>
      <c r="J217" s="2" t="s">
        <v>628</v>
      </c>
    </row>
    <row r="218" spans="1:10" x14ac:dyDescent="0.25">
      <c r="A218" s="18" t="s">
        <v>203</v>
      </c>
      <c r="B218">
        <v>8.9619692170747722E-2</v>
      </c>
      <c r="C218" s="17">
        <f t="shared" si="3"/>
        <v>44882</v>
      </c>
      <c r="D218" s="17"/>
      <c r="J218" s="2" t="s">
        <v>629</v>
      </c>
    </row>
    <row r="219" spans="1:10" x14ac:dyDescent="0.25">
      <c r="A219" s="18" t="s">
        <v>1405</v>
      </c>
      <c r="B219">
        <v>9.1285613603710902E-2</v>
      </c>
      <c r="C219" s="17">
        <f t="shared" si="3"/>
        <v>44883</v>
      </c>
      <c r="D219" s="17"/>
      <c r="J219" s="2" t="s">
        <v>630</v>
      </c>
    </row>
    <row r="220" spans="1:10" x14ac:dyDescent="0.25">
      <c r="A220" s="18" t="s">
        <v>1175</v>
      </c>
      <c r="B220">
        <v>9.1599371927219342E-2</v>
      </c>
      <c r="C220" s="17">
        <f t="shared" si="3"/>
        <v>44884</v>
      </c>
      <c r="D220" s="17"/>
      <c r="J220" s="2" t="s">
        <v>631</v>
      </c>
    </row>
    <row r="221" spans="1:10" x14ac:dyDescent="0.25">
      <c r="A221" s="18" t="s">
        <v>2137</v>
      </c>
      <c r="B221">
        <v>9.1755106890396565E-2</v>
      </c>
      <c r="C221" s="17">
        <f t="shared" si="3"/>
        <v>44885</v>
      </c>
      <c r="D221" s="17"/>
      <c r="J221" s="2" t="s">
        <v>632</v>
      </c>
    </row>
    <row r="222" spans="1:10" x14ac:dyDescent="0.25">
      <c r="A222" s="18" t="s">
        <v>1365</v>
      </c>
      <c r="B222">
        <v>9.2207421332792472E-2</v>
      </c>
      <c r="C222" s="17">
        <f t="shared" si="3"/>
        <v>44886</v>
      </c>
      <c r="D222" s="17"/>
      <c r="J222" s="2" t="s">
        <v>388</v>
      </c>
    </row>
    <row r="223" spans="1:10" x14ac:dyDescent="0.25">
      <c r="A223" s="18" t="s">
        <v>1737</v>
      </c>
      <c r="B223">
        <v>9.2818783847881892E-2</v>
      </c>
      <c r="C223" s="17">
        <f t="shared" si="3"/>
        <v>44887</v>
      </c>
      <c r="D223" s="17"/>
      <c r="J223" s="2" t="s">
        <v>633</v>
      </c>
    </row>
    <row r="224" spans="1:10" x14ac:dyDescent="0.25">
      <c r="A224" s="18" t="s">
        <v>1703</v>
      </c>
      <c r="B224">
        <v>9.3597486352726356E-2</v>
      </c>
      <c r="C224" s="17">
        <f t="shared" si="3"/>
        <v>44888</v>
      </c>
      <c r="D224" s="17"/>
      <c r="J224" s="2" t="s">
        <v>240</v>
      </c>
    </row>
    <row r="225" spans="1:10" x14ac:dyDescent="0.25">
      <c r="A225" s="18" t="s">
        <v>1886</v>
      </c>
      <c r="B225">
        <v>9.4337983738870812E-2</v>
      </c>
      <c r="C225" s="17">
        <f t="shared" si="3"/>
        <v>44889</v>
      </c>
      <c r="D225" s="17"/>
      <c r="J225" s="2" t="s">
        <v>634</v>
      </c>
    </row>
    <row r="226" spans="1:10" x14ac:dyDescent="0.25">
      <c r="A226" s="18" t="s">
        <v>1853</v>
      </c>
      <c r="B226">
        <v>9.4748386367194293E-2</v>
      </c>
      <c r="C226" s="17">
        <f t="shared" si="3"/>
        <v>44890</v>
      </c>
      <c r="D226" s="17"/>
      <c r="J226" s="2" t="s">
        <v>91</v>
      </c>
    </row>
    <row r="227" spans="1:10" x14ac:dyDescent="0.25">
      <c r="A227" s="18" t="s">
        <v>1268</v>
      </c>
      <c r="B227">
        <v>9.6209607550700293E-2</v>
      </c>
      <c r="C227" s="17">
        <f t="shared" si="3"/>
        <v>44891</v>
      </c>
      <c r="D227" s="17"/>
      <c r="J227" s="2" t="s">
        <v>635</v>
      </c>
    </row>
    <row r="228" spans="1:10" x14ac:dyDescent="0.25">
      <c r="A228" s="18" t="s">
        <v>922</v>
      </c>
      <c r="B228">
        <v>9.7594298447076566E-2</v>
      </c>
      <c r="C228" s="17">
        <f t="shared" si="3"/>
        <v>44892</v>
      </c>
      <c r="D228" s="17"/>
      <c r="J228" s="2" t="s">
        <v>216</v>
      </c>
    </row>
    <row r="229" spans="1:10" x14ac:dyDescent="0.25">
      <c r="A229" s="18" t="s">
        <v>689</v>
      </c>
      <c r="B229">
        <v>9.769199892923941E-2</v>
      </c>
      <c r="C229" s="17">
        <f t="shared" si="3"/>
        <v>44893</v>
      </c>
      <c r="D229" s="17"/>
      <c r="J229" s="2" t="s">
        <v>406</v>
      </c>
    </row>
    <row r="230" spans="1:10" x14ac:dyDescent="0.25">
      <c r="A230" s="18" t="s">
        <v>934</v>
      </c>
      <c r="B230">
        <v>9.8111521472011298E-2</v>
      </c>
      <c r="C230" s="17">
        <f t="shared" si="3"/>
        <v>44894</v>
      </c>
      <c r="D230" s="17"/>
      <c r="J230" s="2" t="s">
        <v>636</v>
      </c>
    </row>
    <row r="231" spans="1:10" x14ac:dyDescent="0.25">
      <c r="A231" s="18" t="s">
        <v>255</v>
      </c>
      <c r="B231">
        <v>9.8357369085350754E-2</v>
      </c>
      <c r="C231" s="17">
        <f t="shared" si="3"/>
        <v>44895</v>
      </c>
      <c r="D231" s="17"/>
      <c r="J231" s="2" t="s">
        <v>637</v>
      </c>
    </row>
    <row r="232" spans="1:10" x14ac:dyDescent="0.25">
      <c r="A232" s="18" t="s">
        <v>651</v>
      </c>
      <c r="B232">
        <v>9.8917604859289465E-2</v>
      </c>
      <c r="C232" s="17">
        <f t="shared" si="3"/>
        <v>44896</v>
      </c>
      <c r="D232" s="17"/>
      <c r="J232" s="2" t="s">
        <v>638</v>
      </c>
    </row>
    <row r="233" spans="1:10" x14ac:dyDescent="0.25">
      <c r="A233" s="18" t="s">
        <v>970</v>
      </c>
      <c r="B233">
        <v>9.9152664392581635E-2</v>
      </c>
      <c r="C233" s="17">
        <f t="shared" si="3"/>
        <v>44897</v>
      </c>
      <c r="D233" s="17"/>
      <c r="J233" s="2" t="s">
        <v>639</v>
      </c>
    </row>
    <row r="234" spans="1:10" x14ac:dyDescent="0.25">
      <c r="A234" s="18" t="s">
        <v>2092</v>
      </c>
      <c r="B234">
        <v>9.9180728118998362E-2</v>
      </c>
      <c r="C234" s="17">
        <f t="shared" si="3"/>
        <v>44898</v>
      </c>
      <c r="D234" s="17"/>
      <c r="J234" s="2" t="s">
        <v>345</v>
      </c>
    </row>
    <row r="235" spans="1:10" x14ac:dyDescent="0.25">
      <c r="A235" s="18" t="s">
        <v>1577</v>
      </c>
      <c r="B235">
        <v>0.10025949305000659</v>
      </c>
      <c r="C235" s="17">
        <f t="shared" si="3"/>
        <v>44899</v>
      </c>
      <c r="D235" s="17"/>
      <c r="J235" s="2" t="s">
        <v>640</v>
      </c>
    </row>
    <row r="236" spans="1:10" x14ac:dyDescent="0.25">
      <c r="A236" s="18" t="s">
        <v>179</v>
      </c>
      <c r="B236">
        <v>0.10028372149879772</v>
      </c>
      <c r="C236" s="17">
        <f t="shared" si="3"/>
        <v>44900</v>
      </c>
      <c r="D236" s="17"/>
      <c r="J236" s="2" t="s">
        <v>157</v>
      </c>
    </row>
    <row r="237" spans="1:10" x14ac:dyDescent="0.25">
      <c r="A237" s="18" t="s">
        <v>1094</v>
      </c>
      <c r="B237">
        <v>0.10045875688569061</v>
      </c>
      <c r="C237" s="17">
        <f t="shared" si="3"/>
        <v>44901</v>
      </c>
      <c r="D237" s="17"/>
      <c r="J237" s="2" t="s">
        <v>192</v>
      </c>
    </row>
    <row r="238" spans="1:10" x14ac:dyDescent="0.25">
      <c r="A238" s="18" t="s">
        <v>1182</v>
      </c>
      <c r="B238">
        <v>0.10085611620537216</v>
      </c>
      <c r="C238" s="17">
        <f t="shared" si="3"/>
        <v>44902</v>
      </c>
      <c r="D238" s="17"/>
      <c r="J238" s="2" t="s">
        <v>267</v>
      </c>
    </row>
    <row r="239" spans="1:10" x14ac:dyDescent="0.25">
      <c r="A239" s="18" t="s">
        <v>2086</v>
      </c>
      <c r="B239">
        <v>0.10105509686971914</v>
      </c>
      <c r="C239" s="17">
        <f t="shared" si="3"/>
        <v>44903</v>
      </c>
      <c r="D239" s="17"/>
      <c r="J239" s="2" t="s">
        <v>641</v>
      </c>
    </row>
    <row r="240" spans="1:10" x14ac:dyDescent="0.25">
      <c r="A240" s="18" t="s">
        <v>770</v>
      </c>
      <c r="B240">
        <v>0.10148350072328738</v>
      </c>
      <c r="C240" s="17">
        <f t="shared" si="3"/>
        <v>44904</v>
      </c>
      <c r="D240" s="17"/>
      <c r="J240" s="2" t="s">
        <v>642</v>
      </c>
    </row>
    <row r="241" spans="1:10" x14ac:dyDescent="0.25">
      <c r="A241" s="18" t="s">
        <v>1639</v>
      </c>
      <c r="B241">
        <v>0.10276237075770334</v>
      </c>
      <c r="C241" s="17">
        <f t="shared" si="3"/>
        <v>44905</v>
      </c>
      <c r="D241" s="17"/>
      <c r="J241" s="2" t="s">
        <v>643</v>
      </c>
    </row>
    <row r="242" spans="1:10" x14ac:dyDescent="0.25">
      <c r="A242" s="18" t="s">
        <v>1918</v>
      </c>
      <c r="B242">
        <v>0.10288028730537235</v>
      </c>
      <c r="C242" s="17">
        <f t="shared" si="3"/>
        <v>44906</v>
      </c>
      <c r="D242" s="17"/>
      <c r="J242" s="2" t="s">
        <v>644</v>
      </c>
    </row>
    <row r="243" spans="1:10" x14ac:dyDescent="0.25">
      <c r="A243" s="18" t="s">
        <v>1396</v>
      </c>
      <c r="B243">
        <v>0.1033330665475205</v>
      </c>
      <c r="C243" s="17">
        <f t="shared" si="3"/>
        <v>44907</v>
      </c>
      <c r="D243" s="17"/>
      <c r="J243" s="2" t="s">
        <v>645</v>
      </c>
    </row>
    <row r="244" spans="1:10" x14ac:dyDescent="0.25">
      <c r="A244" s="18" t="s">
        <v>878</v>
      </c>
      <c r="B244">
        <v>0.10365936961699229</v>
      </c>
      <c r="C244" s="17">
        <f t="shared" si="3"/>
        <v>44908</v>
      </c>
      <c r="D244" s="17"/>
      <c r="J244" s="2" t="s">
        <v>646</v>
      </c>
    </row>
    <row r="245" spans="1:10" x14ac:dyDescent="0.25">
      <c r="A245" s="18" t="s">
        <v>340</v>
      </c>
      <c r="B245">
        <v>0.10440248865506363</v>
      </c>
      <c r="C245" s="17">
        <f t="shared" si="3"/>
        <v>44909</v>
      </c>
      <c r="D245" s="17"/>
      <c r="J245" s="2" t="s">
        <v>647</v>
      </c>
    </row>
    <row r="246" spans="1:10" x14ac:dyDescent="0.25">
      <c r="A246" s="18" t="s">
        <v>2283</v>
      </c>
      <c r="B246">
        <v>0.10492293336114422</v>
      </c>
      <c r="C246" s="17">
        <f t="shared" si="3"/>
        <v>44910</v>
      </c>
      <c r="D246" s="17"/>
      <c r="J246" s="2" t="s">
        <v>326</v>
      </c>
    </row>
    <row r="247" spans="1:10" x14ac:dyDescent="0.25">
      <c r="A247" s="18" t="s">
        <v>1701</v>
      </c>
      <c r="B247">
        <v>0.10507932183738689</v>
      </c>
      <c r="C247" s="17">
        <f t="shared" si="3"/>
        <v>44911</v>
      </c>
      <c r="D247" s="17"/>
      <c r="J247" s="2" t="s">
        <v>648</v>
      </c>
    </row>
    <row r="248" spans="1:10" x14ac:dyDescent="0.25">
      <c r="A248" s="18" t="s">
        <v>333</v>
      </c>
      <c r="B248">
        <v>0.10584769403412497</v>
      </c>
      <c r="C248" s="17">
        <f t="shared" si="3"/>
        <v>44912</v>
      </c>
      <c r="D248" s="17"/>
      <c r="J248" s="2" t="s">
        <v>649</v>
      </c>
    </row>
    <row r="249" spans="1:10" x14ac:dyDescent="0.25">
      <c r="A249" s="18" t="s">
        <v>1711</v>
      </c>
      <c r="B249">
        <v>0.10696126342424062</v>
      </c>
      <c r="C249" s="17">
        <f t="shared" si="3"/>
        <v>44913</v>
      </c>
      <c r="D249" s="17"/>
      <c r="J249" s="2" t="s">
        <v>650</v>
      </c>
    </row>
    <row r="250" spans="1:10" x14ac:dyDescent="0.25">
      <c r="A250" s="18" t="s">
        <v>1030</v>
      </c>
      <c r="B250">
        <v>0.1080599879169426</v>
      </c>
      <c r="C250" s="17">
        <f t="shared" si="3"/>
        <v>44914</v>
      </c>
      <c r="D250" s="17"/>
      <c r="J250" s="2" t="s">
        <v>651</v>
      </c>
    </row>
    <row r="251" spans="1:10" x14ac:dyDescent="0.25">
      <c r="A251" s="18" t="s">
        <v>871</v>
      </c>
      <c r="B251">
        <v>0.10819699967431617</v>
      </c>
      <c r="C251" s="17">
        <f t="shared" si="3"/>
        <v>44915</v>
      </c>
      <c r="D251" s="17"/>
      <c r="J251" s="2" t="s">
        <v>259</v>
      </c>
    </row>
    <row r="252" spans="1:10" x14ac:dyDescent="0.25">
      <c r="A252" s="18" t="s">
        <v>1449</v>
      </c>
      <c r="B252">
        <v>0.10881659052652615</v>
      </c>
      <c r="C252" s="17">
        <f t="shared" si="3"/>
        <v>44916</v>
      </c>
      <c r="D252" s="17"/>
      <c r="J252" s="2" t="s">
        <v>652</v>
      </c>
    </row>
    <row r="253" spans="1:10" x14ac:dyDescent="0.25">
      <c r="A253" s="18" t="s">
        <v>1628</v>
      </c>
      <c r="B253">
        <v>0.10947517947416763</v>
      </c>
      <c r="C253" s="17">
        <f t="shared" si="3"/>
        <v>44917</v>
      </c>
      <c r="D253" s="17"/>
      <c r="J253" s="2" t="s">
        <v>653</v>
      </c>
    </row>
    <row r="254" spans="1:10" x14ac:dyDescent="0.25">
      <c r="A254" s="18" t="s">
        <v>1108</v>
      </c>
      <c r="B254">
        <v>0.10962943475160758</v>
      </c>
      <c r="C254" s="17">
        <f t="shared" si="3"/>
        <v>44918</v>
      </c>
      <c r="D254" s="17"/>
      <c r="J254" s="2" t="s">
        <v>654</v>
      </c>
    </row>
    <row r="255" spans="1:10" x14ac:dyDescent="0.25">
      <c r="A255" s="18" t="s">
        <v>327</v>
      </c>
      <c r="B255">
        <v>0.10966277667344027</v>
      </c>
      <c r="C255" s="17">
        <f t="shared" si="3"/>
        <v>44919</v>
      </c>
      <c r="D255" s="17"/>
      <c r="J255" s="2" t="s">
        <v>655</v>
      </c>
    </row>
    <row r="256" spans="1:10" x14ac:dyDescent="0.25">
      <c r="A256" s="18" t="s">
        <v>475</v>
      </c>
      <c r="B256">
        <v>0.10980458762346346</v>
      </c>
      <c r="C256" s="17">
        <f t="shared" si="3"/>
        <v>44920</v>
      </c>
      <c r="D256" s="17"/>
      <c r="J256" s="2" t="s">
        <v>656</v>
      </c>
    </row>
    <row r="257" spans="1:10" x14ac:dyDescent="0.25">
      <c r="A257" s="18" t="s">
        <v>443</v>
      </c>
      <c r="B257">
        <v>0.10990366896439208</v>
      </c>
      <c r="C257" s="17">
        <f t="shared" si="3"/>
        <v>44921</v>
      </c>
      <c r="D257" s="17"/>
      <c r="J257" s="2" t="s">
        <v>657</v>
      </c>
    </row>
    <row r="258" spans="1:10" x14ac:dyDescent="0.25">
      <c r="A258" s="18" t="s">
        <v>119</v>
      </c>
      <c r="B258">
        <v>0.11019703972188588</v>
      </c>
      <c r="C258" s="17">
        <f t="shared" si="3"/>
        <v>44922</v>
      </c>
      <c r="D258" s="17"/>
      <c r="J258" s="2" t="s">
        <v>658</v>
      </c>
    </row>
    <row r="259" spans="1:10" x14ac:dyDescent="0.25">
      <c r="A259" s="18" t="s">
        <v>662</v>
      </c>
      <c r="B259">
        <v>0.11045360268669113</v>
      </c>
      <c r="C259" s="17">
        <f t="shared" si="3"/>
        <v>44923</v>
      </c>
      <c r="D259" s="17"/>
      <c r="J259" s="2" t="s">
        <v>659</v>
      </c>
    </row>
    <row r="260" spans="1:10" x14ac:dyDescent="0.25">
      <c r="A260" s="18" t="s">
        <v>2003</v>
      </c>
      <c r="B260">
        <v>0.11156340978761992</v>
      </c>
      <c r="C260" s="17">
        <f t="shared" ref="C260:C323" si="4">C259+1</f>
        <v>44924</v>
      </c>
      <c r="D260" s="17"/>
      <c r="J260" s="2" t="s">
        <v>660</v>
      </c>
    </row>
    <row r="261" spans="1:10" x14ac:dyDescent="0.25">
      <c r="A261" s="18" t="s">
        <v>252</v>
      </c>
      <c r="B261">
        <v>0.11270309669510259</v>
      </c>
      <c r="C261" s="17">
        <f t="shared" si="4"/>
        <v>44925</v>
      </c>
      <c r="D261" s="17"/>
      <c r="J261" s="2" t="s">
        <v>661</v>
      </c>
    </row>
    <row r="262" spans="1:10" x14ac:dyDescent="0.25">
      <c r="A262" s="18" t="s">
        <v>2056</v>
      </c>
      <c r="B262">
        <v>0.11285935193438235</v>
      </c>
      <c r="C262" s="17">
        <f t="shared" si="4"/>
        <v>44926</v>
      </c>
      <c r="D262" s="17"/>
      <c r="J262" s="2" t="s">
        <v>12</v>
      </c>
    </row>
    <row r="263" spans="1:10" x14ac:dyDescent="0.25">
      <c r="A263" s="18" t="s">
        <v>186</v>
      </c>
      <c r="B263">
        <v>0.11312958870903655</v>
      </c>
      <c r="C263" s="17">
        <f t="shared" si="4"/>
        <v>44927</v>
      </c>
      <c r="D263" s="17"/>
      <c r="J263" s="2" t="s">
        <v>662</v>
      </c>
    </row>
    <row r="264" spans="1:10" x14ac:dyDescent="0.25">
      <c r="A264" s="18" t="s">
        <v>2083</v>
      </c>
      <c r="B264">
        <v>0.11320563317660703</v>
      </c>
      <c r="C264" s="17">
        <f t="shared" si="4"/>
        <v>44928</v>
      </c>
      <c r="D264" s="17"/>
      <c r="J264" s="2" t="s">
        <v>663</v>
      </c>
    </row>
    <row r="265" spans="1:10" x14ac:dyDescent="0.25">
      <c r="A265" s="18" t="s">
        <v>632</v>
      </c>
      <c r="B265">
        <v>0.11351105314651144</v>
      </c>
      <c r="C265" s="17">
        <f t="shared" si="4"/>
        <v>44929</v>
      </c>
      <c r="D265" s="17"/>
      <c r="J265" s="2" t="s">
        <v>664</v>
      </c>
    </row>
    <row r="266" spans="1:10" x14ac:dyDescent="0.25">
      <c r="A266" s="18" t="s">
        <v>1331</v>
      </c>
      <c r="B266">
        <v>0.11356604703649276</v>
      </c>
      <c r="C266" s="17">
        <f t="shared" si="4"/>
        <v>44930</v>
      </c>
      <c r="D266" s="17"/>
      <c r="J266" s="2" t="s">
        <v>392</v>
      </c>
    </row>
    <row r="267" spans="1:10" x14ac:dyDescent="0.25">
      <c r="A267" s="18" t="s">
        <v>824</v>
      </c>
      <c r="B267">
        <v>0.11402080054822761</v>
      </c>
      <c r="C267" s="17">
        <f t="shared" si="4"/>
        <v>44931</v>
      </c>
      <c r="D267" s="17"/>
      <c r="J267" s="2" t="s">
        <v>237</v>
      </c>
    </row>
    <row r="268" spans="1:10" x14ac:dyDescent="0.25">
      <c r="A268" s="18" t="s">
        <v>2128</v>
      </c>
      <c r="B268">
        <v>0.1142027130724026</v>
      </c>
      <c r="C268" s="17">
        <f t="shared" si="4"/>
        <v>44932</v>
      </c>
      <c r="D268" s="17"/>
      <c r="J268" s="2" t="s">
        <v>665</v>
      </c>
    </row>
    <row r="269" spans="1:10" x14ac:dyDescent="0.25">
      <c r="A269" s="18" t="s">
        <v>491</v>
      </c>
      <c r="B269">
        <v>0.11455386774413057</v>
      </c>
      <c r="C269" s="17">
        <f t="shared" si="4"/>
        <v>44933</v>
      </c>
      <c r="D269" s="17"/>
      <c r="J269" s="2" t="s">
        <v>449</v>
      </c>
    </row>
    <row r="270" spans="1:10" x14ac:dyDescent="0.25">
      <c r="A270" s="18" t="s">
        <v>59</v>
      </c>
      <c r="B270">
        <v>0.11478560082642231</v>
      </c>
      <c r="C270" s="17">
        <f t="shared" si="4"/>
        <v>44934</v>
      </c>
      <c r="D270" s="17"/>
      <c r="J270" s="2" t="s">
        <v>411</v>
      </c>
    </row>
    <row r="271" spans="1:10" x14ac:dyDescent="0.25">
      <c r="A271" s="18" t="s">
        <v>116</v>
      </c>
      <c r="B271">
        <v>0.11501260111391087</v>
      </c>
      <c r="C271" s="17">
        <f t="shared" si="4"/>
        <v>44935</v>
      </c>
      <c r="D271" s="17"/>
      <c r="J271" s="2" t="s">
        <v>153</v>
      </c>
    </row>
    <row r="272" spans="1:10" x14ac:dyDescent="0.25">
      <c r="A272" s="18" t="s">
        <v>816</v>
      </c>
      <c r="B272">
        <v>0.11522819397393125</v>
      </c>
      <c r="C272" s="17">
        <f t="shared" si="4"/>
        <v>44936</v>
      </c>
      <c r="D272" s="17"/>
      <c r="J272" s="2" t="s">
        <v>666</v>
      </c>
    </row>
    <row r="273" spans="1:10" x14ac:dyDescent="0.25">
      <c r="A273" s="18" t="s">
        <v>942</v>
      </c>
      <c r="B273">
        <v>0.11528605191789743</v>
      </c>
      <c r="C273" s="17">
        <f t="shared" si="4"/>
        <v>44937</v>
      </c>
      <c r="D273" s="17"/>
      <c r="J273" s="2" t="s">
        <v>667</v>
      </c>
    </row>
    <row r="274" spans="1:10" x14ac:dyDescent="0.25">
      <c r="A274" s="18" t="s">
        <v>1947</v>
      </c>
      <c r="B274">
        <v>0.11551174700153855</v>
      </c>
      <c r="C274" s="17">
        <f t="shared" si="4"/>
        <v>44938</v>
      </c>
      <c r="D274" s="17"/>
      <c r="J274" s="2" t="s">
        <v>668</v>
      </c>
    </row>
    <row r="275" spans="1:10" x14ac:dyDescent="0.25">
      <c r="A275" s="18" t="s">
        <v>2109</v>
      </c>
      <c r="B275">
        <v>0.11597771525602152</v>
      </c>
      <c r="C275" s="17">
        <f t="shared" si="4"/>
        <v>44939</v>
      </c>
      <c r="D275" s="17"/>
      <c r="J275" s="2" t="s">
        <v>243</v>
      </c>
    </row>
    <row r="276" spans="1:10" x14ac:dyDescent="0.25">
      <c r="A276" s="18" t="s">
        <v>1011</v>
      </c>
      <c r="B276">
        <v>0.11698970359421657</v>
      </c>
      <c r="C276" s="17">
        <f t="shared" si="4"/>
        <v>44940</v>
      </c>
      <c r="D276" s="17"/>
      <c r="J276" s="2" t="s">
        <v>669</v>
      </c>
    </row>
    <row r="277" spans="1:10" x14ac:dyDescent="0.25">
      <c r="A277" s="18" t="s">
        <v>2116</v>
      </c>
      <c r="B277">
        <v>0.1170709647876691</v>
      </c>
      <c r="C277" s="17">
        <f t="shared" si="4"/>
        <v>44941</v>
      </c>
      <c r="D277" s="17"/>
      <c r="J277" s="2" t="s">
        <v>670</v>
      </c>
    </row>
    <row r="278" spans="1:10" x14ac:dyDescent="0.25">
      <c r="A278" s="18" t="s">
        <v>1420</v>
      </c>
      <c r="B278">
        <v>0.11739277551696947</v>
      </c>
      <c r="C278" s="17">
        <f t="shared" si="4"/>
        <v>44942</v>
      </c>
      <c r="D278" s="17"/>
      <c r="J278" s="2" t="s">
        <v>15</v>
      </c>
    </row>
    <row r="279" spans="1:10" x14ac:dyDescent="0.25">
      <c r="A279" s="18" t="s">
        <v>161</v>
      </c>
      <c r="B279">
        <v>0.11815601777198825</v>
      </c>
      <c r="C279" s="17">
        <f t="shared" si="4"/>
        <v>44943</v>
      </c>
      <c r="D279" s="17"/>
      <c r="J279" s="2" t="s">
        <v>671</v>
      </c>
    </row>
    <row r="280" spans="1:10" x14ac:dyDescent="0.25">
      <c r="A280" s="18" t="s">
        <v>1041</v>
      </c>
      <c r="B280">
        <v>0.11819283880901255</v>
      </c>
      <c r="C280" s="17">
        <f t="shared" si="4"/>
        <v>44944</v>
      </c>
      <c r="D280" s="17"/>
      <c r="J280" s="2" t="s">
        <v>398</v>
      </c>
    </row>
    <row r="281" spans="1:10" x14ac:dyDescent="0.25">
      <c r="A281" s="18" t="s">
        <v>1807</v>
      </c>
      <c r="B281">
        <v>0.1183890597634959</v>
      </c>
      <c r="C281" s="17">
        <f t="shared" si="4"/>
        <v>44945</v>
      </c>
      <c r="D281" s="17"/>
      <c r="J281" s="2" t="s">
        <v>672</v>
      </c>
    </row>
    <row r="282" spans="1:10" x14ac:dyDescent="0.25">
      <c r="A282" s="18" t="s">
        <v>935</v>
      </c>
      <c r="B282">
        <v>0.11850742669767378</v>
      </c>
      <c r="C282" s="17">
        <f t="shared" si="4"/>
        <v>44946</v>
      </c>
      <c r="D282" s="17"/>
      <c r="J282" s="2" t="s">
        <v>673</v>
      </c>
    </row>
    <row r="283" spans="1:10" x14ac:dyDescent="0.25">
      <c r="A283" s="18" t="s">
        <v>1072</v>
      </c>
      <c r="B283">
        <v>0.1188573139772483</v>
      </c>
      <c r="C283" s="17">
        <f t="shared" si="4"/>
        <v>44947</v>
      </c>
      <c r="D283" s="17"/>
      <c r="J283" s="2" t="s">
        <v>75</v>
      </c>
    </row>
    <row r="284" spans="1:10" x14ac:dyDescent="0.25">
      <c r="A284" s="18" t="s">
        <v>144</v>
      </c>
      <c r="B284">
        <v>0.11907705267024216</v>
      </c>
      <c r="C284" s="17">
        <f t="shared" si="4"/>
        <v>44948</v>
      </c>
      <c r="D284" s="17"/>
      <c r="J284" s="2" t="s">
        <v>674</v>
      </c>
    </row>
    <row r="285" spans="1:10" x14ac:dyDescent="0.25">
      <c r="A285" s="18" t="s">
        <v>2255</v>
      </c>
      <c r="B285">
        <v>0.11908885242745171</v>
      </c>
      <c r="C285" s="17">
        <f t="shared" si="4"/>
        <v>44949</v>
      </c>
      <c r="D285" s="17"/>
      <c r="J285" s="2" t="s">
        <v>675</v>
      </c>
    </row>
    <row r="286" spans="1:10" x14ac:dyDescent="0.25">
      <c r="A286" s="18" t="s">
        <v>65</v>
      </c>
      <c r="B286">
        <v>0.11953426304623327</v>
      </c>
      <c r="C286" s="17">
        <f t="shared" si="4"/>
        <v>44950</v>
      </c>
      <c r="D286" s="17"/>
      <c r="J286" s="2" t="s">
        <v>676</v>
      </c>
    </row>
    <row r="287" spans="1:10" x14ac:dyDescent="0.25">
      <c r="A287" s="18" t="s">
        <v>1934</v>
      </c>
      <c r="B287">
        <v>0.1195618991985774</v>
      </c>
      <c r="C287" s="17">
        <f t="shared" si="4"/>
        <v>44951</v>
      </c>
      <c r="D287" s="17"/>
      <c r="J287" s="2" t="s">
        <v>156</v>
      </c>
    </row>
    <row r="288" spans="1:10" x14ac:dyDescent="0.25">
      <c r="A288" s="18" t="s">
        <v>1694</v>
      </c>
      <c r="B288">
        <v>0.11980014751479617</v>
      </c>
      <c r="C288" s="17">
        <f t="shared" si="4"/>
        <v>44952</v>
      </c>
      <c r="D288" s="17"/>
      <c r="J288" s="2" t="s">
        <v>327</v>
      </c>
    </row>
    <row r="289" spans="1:10" x14ac:dyDescent="0.25">
      <c r="A289" s="18" t="s">
        <v>862</v>
      </c>
      <c r="B289">
        <v>0.11989067250335794</v>
      </c>
      <c r="C289" s="17">
        <f t="shared" si="4"/>
        <v>44953</v>
      </c>
      <c r="D289" s="17"/>
      <c r="J289" s="2" t="s">
        <v>677</v>
      </c>
    </row>
    <row r="290" spans="1:10" x14ac:dyDescent="0.25">
      <c r="A290" s="18" t="s">
        <v>1035</v>
      </c>
      <c r="B290">
        <v>0.12007701348746669</v>
      </c>
      <c r="C290" s="17">
        <f t="shared" si="4"/>
        <v>44954</v>
      </c>
      <c r="D290" s="17"/>
      <c r="J290" s="2" t="s">
        <v>678</v>
      </c>
    </row>
    <row r="291" spans="1:10" x14ac:dyDescent="0.25">
      <c r="A291" s="18" t="s">
        <v>652</v>
      </c>
      <c r="B291">
        <v>0.12048469848762688</v>
      </c>
      <c r="C291" s="17">
        <f t="shared" si="4"/>
        <v>44955</v>
      </c>
      <c r="D291" s="17"/>
      <c r="J291" s="2" t="s">
        <v>679</v>
      </c>
    </row>
    <row r="292" spans="1:10" x14ac:dyDescent="0.25">
      <c r="A292" s="18" t="s">
        <v>56</v>
      </c>
      <c r="B292">
        <v>0.1205651170320573</v>
      </c>
      <c r="C292" s="17">
        <f t="shared" si="4"/>
        <v>44956</v>
      </c>
      <c r="D292" s="17"/>
      <c r="J292" s="2" t="s">
        <v>680</v>
      </c>
    </row>
    <row r="293" spans="1:10" x14ac:dyDescent="0.25">
      <c r="A293" s="18" t="s">
        <v>1429</v>
      </c>
      <c r="B293">
        <v>0.12096726107343747</v>
      </c>
      <c r="C293" s="17">
        <f t="shared" si="4"/>
        <v>44957</v>
      </c>
      <c r="D293" s="17"/>
      <c r="J293" s="2" t="s">
        <v>681</v>
      </c>
    </row>
    <row r="294" spans="1:10" x14ac:dyDescent="0.25">
      <c r="A294" s="18" t="s">
        <v>2026</v>
      </c>
      <c r="B294">
        <v>0.12138986820307507</v>
      </c>
      <c r="C294" s="17">
        <f t="shared" si="4"/>
        <v>44958</v>
      </c>
      <c r="D294" s="17"/>
      <c r="J294" s="2" t="s">
        <v>141</v>
      </c>
    </row>
    <row r="295" spans="1:10" x14ac:dyDescent="0.25">
      <c r="A295" s="18" t="s">
        <v>1366</v>
      </c>
      <c r="B295">
        <v>0.12213911441938163</v>
      </c>
      <c r="C295" s="17">
        <f t="shared" si="4"/>
        <v>44959</v>
      </c>
      <c r="D295" s="17"/>
      <c r="J295" s="2" t="s">
        <v>682</v>
      </c>
    </row>
    <row r="296" spans="1:10" x14ac:dyDescent="0.25">
      <c r="A296" s="18" t="s">
        <v>1204</v>
      </c>
      <c r="B296">
        <v>0.12250669850608265</v>
      </c>
      <c r="C296" s="17">
        <f t="shared" si="4"/>
        <v>44960</v>
      </c>
      <c r="D296" s="17"/>
      <c r="J296" s="2" t="s">
        <v>683</v>
      </c>
    </row>
    <row r="297" spans="1:10" x14ac:dyDescent="0.25">
      <c r="A297" s="18" t="s">
        <v>694</v>
      </c>
      <c r="B297">
        <v>0.12297335885899308</v>
      </c>
      <c r="C297" s="17">
        <f t="shared" si="4"/>
        <v>44961</v>
      </c>
      <c r="D297" s="17"/>
      <c r="J297" s="2" t="s">
        <v>684</v>
      </c>
    </row>
    <row r="298" spans="1:10" x14ac:dyDescent="0.25">
      <c r="A298" s="18" t="s">
        <v>2193</v>
      </c>
      <c r="B298">
        <v>0.12344751291619471</v>
      </c>
      <c r="C298" s="17">
        <f t="shared" si="4"/>
        <v>44962</v>
      </c>
      <c r="D298" s="17"/>
      <c r="J298" s="2" t="s">
        <v>685</v>
      </c>
    </row>
    <row r="299" spans="1:10" x14ac:dyDescent="0.25">
      <c r="A299" s="18" t="s">
        <v>1521</v>
      </c>
      <c r="B299">
        <v>0.12417540472440181</v>
      </c>
      <c r="C299" s="17">
        <f t="shared" si="4"/>
        <v>44963</v>
      </c>
      <c r="D299" s="17"/>
      <c r="J299" s="2" t="s">
        <v>686</v>
      </c>
    </row>
    <row r="300" spans="1:10" x14ac:dyDescent="0.25">
      <c r="A300" s="18" t="s">
        <v>1651</v>
      </c>
      <c r="B300">
        <v>0.12430466422626385</v>
      </c>
      <c r="C300" s="17">
        <f t="shared" si="4"/>
        <v>44964</v>
      </c>
      <c r="D300" s="17"/>
      <c r="J300" s="2" t="s">
        <v>687</v>
      </c>
    </row>
    <row r="301" spans="1:10" x14ac:dyDescent="0.25">
      <c r="A301" s="18" t="s">
        <v>1141</v>
      </c>
      <c r="B301">
        <v>0.12498372345359376</v>
      </c>
      <c r="C301" s="17">
        <f t="shared" si="4"/>
        <v>44965</v>
      </c>
      <c r="D301" s="17"/>
      <c r="J301" s="2" t="s">
        <v>369</v>
      </c>
    </row>
    <row r="302" spans="1:10" x14ac:dyDescent="0.25">
      <c r="A302" s="18" t="s">
        <v>2126</v>
      </c>
      <c r="B302">
        <v>0.12502506529242674</v>
      </c>
      <c r="C302" s="17">
        <f t="shared" si="4"/>
        <v>44966</v>
      </c>
      <c r="D302" s="17"/>
      <c r="J302" s="2" t="s">
        <v>43</v>
      </c>
    </row>
    <row r="303" spans="1:10" x14ac:dyDescent="0.25">
      <c r="A303" s="18" t="s">
        <v>1809</v>
      </c>
      <c r="B303">
        <v>0.12578957674249636</v>
      </c>
      <c r="C303" s="17">
        <f t="shared" si="4"/>
        <v>44967</v>
      </c>
      <c r="D303" s="17"/>
      <c r="J303" s="2" t="s">
        <v>688</v>
      </c>
    </row>
    <row r="304" spans="1:10" x14ac:dyDescent="0.25">
      <c r="A304" s="18" t="s">
        <v>1996</v>
      </c>
      <c r="B304">
        <v>0.12634909237330305</v>
      </c>
      <c r="C304" s="17">
        <f t="shared" si="4"/>
        <v>44968</v>
      </c>
      <c r="D304" s="17"/>
      <c r="J304" s="2" t="s">
        <v>689</v>
      </c>
    </row>
    <row r="305" spans="1:10" x14ac:dyDescent="0.25">
      <c r="A305" s="18" t="s">
        <v>259</v>
      </c>
      <c r="B305">
        <v>0.12666189632504898</v>
      </c>
      <c r="C305" s="17">
        <f t="shared" si="4"/>
        <v>44969</v>
      </c>
      <c r="D305" s="17"/>
      <c r="J305" s="2" t="s">
        <v>690</v>
      </c>
    </row>
    <row r="306" spans="1:10" x14ac:dyDescent="0.25">
      <c r="A306" s="18" t="s">
        <v>244</v>
      </c>
      <c r="B306">
        <v>0.12808415965932818</v>
      </c>
      <c r="C306" s="17">
        <f t="shared" si="4"/>
        <v>44970</v>
      </c>
      <c r="D306" s="17"/>
      <c r="J306" s="2" t="s">
        <v>691</v>
      </c>
    </row>
    <row r="307" spans="1:10" x14ac:dyDescent="0.25">
      <c r="A307" s="18" t="s">
        <v>1284</v>
      </c>
      <c r="B307">
        <v>0.12842610003331645</v>
      </c>
      <c r="C307" s="17">
        <f t="shared" si="4"/>
        <v>44971</v>
      </c>
      <c r="D307" s="17"/>
      <c r="J307" s="2" t="s">
        <v>346</v>
      </c>
    </row>
    <row r="308" spans="1:10" x14ac:dyDescent="0.25">
      <c r="A308" s="18" t="s">
        <v>159</v>
      </c>
      <c r="B308">
        <v>0.12855611727980376</v>
      </c>
      <c r="C308" s="17">
        <f t="shared" si="4"/>
        <v>44972</v>
      </c>
      <c r="D308" s="17"/>
      <c r="J308" s="2" t="s">
        <v>692</v>
      </c>
    </row>
    <row r="309" spans="1:10" x14ac:dyDescent="0.25">
      <c r="A309" s="18" t="s">
        <v>555</v>
      </c>
      <c r="B309">
        <v>0.12976344959949293</v>
      </c>
      <c r="C309" s="17">
        <f t="shared" si="4"/>
        <v>44973</v>
      </c>
      <c r="D309" s="17"/>
      <c r="J309" s="2" t="s">
        <v>74</v>
      </c>
    </row>
    <row r="310" spans="1:10" x14ac:dyDescent="0.25">
      <c r="A310" s="18" t="s">
        <v>1455</v>
      </c>
      <c r="B310">
        <v>0.12993731888580018</v>
      </c>
      <c r="C310" s="17">
        <f t="shared" si="4"/>
        <v>44974</v>
      </c>
      <c r="D310" s="17"/>
      <c r="J310" s="2" t="s">
        <v>693</v>
      </c>
    </row>
    <row r="311" spans="1:10" x14ac:dyDescent="0.25">
      <c r="A311" s="18" t="s">
        <v>2122</v>
      </c>
      <c r="B311">
        <v>0.13048487229565631</v>
      </c>
      <c r="C311" s="17">
        <f t="shared" si="4"/>
        <v>44975</v>
      </c>
      <c r="D311" s="17"/>
      <c r="J311" s="2" t="s">
        <v>694</v>
      </c>
    </row>
    <row r="312" spans="1:10" x14ac:dyDescent="0.25">
      <c r="A312" s="18" t="s">
        <v>1608</v>
      </c>
      <c r="B312">
        <v>0.13055922140669685</v>
      </c>
      <c r="C312" s="17">
        <f t="shared" si="4"/>
        <v>44976</v>
      </c>
      <c r="D312" s="17"/>
      <c r="J312" s="2" t="s">
        <v>695</v>
      </c>
    </row>
    <row r="313" spans="1:10" x14ac:dyDescent="0.25">
      <c r="A313" s="18" t="s">
        <v>1917</v>
      </c>
      <c r="B313">
        <v>0.13059833605994853</v>
      </c>
      <c r="C313" s="17">
        <f t="shared" si="4"/>
        <v>44977</v>
      </c>
      <c r="D313" s="17"/>
      <c r="J313" s="2" t="s">
        <v>696</v>
      </c>
    </row>
    <row r="314" spans="1:10" x14ac:dyDescent="0.25">
      <c r="A314" s="18" t="s">
        <v>8</v>
      </c>
      <c r="B314">
        <v>0.13079710449396875</v>
      </c>
      <c r="C314" s="17">
        <f t="shared" si="4"/>
        <v>44978</v>
      </c>
      <c r="D314" s="17"/>
      <c r="J314" s="2" t="s">
        <v>697</v>
      </c>
    </row>
    <row r="315" spans="1:10" x14ac:dyDescent="0.25">
      <c r="A315" s="18" t="s">
        <v>45</v>
      </c>
      <c r="B315">
        <v>0.13097969231380702</v>
      </c>
      <c r="C315" s="17">
        <f t="shared" si="4"/>
        <v>44979</v>
      </c>
      <c r="D315" s="17"/>
      <c r="J315" s="2" t="s">
        <v>278</v>
      </c>
    </row>
    <row r="316" spans="1:10" x14ac:dyDescent="0.25">
      <c r="A316" s="18" t="s">
        <v>1209</v>
      </c>
      <c r="B316">
        <v>0.13135508871962154</v>
      </c>
      <c r="C316" s="17">
        <f t="shared" si="4"/>
        <v>44980</v>
      </c>
      <c r="D316" s="17"/>
      <c r="J316" s="2" t="s">
        <v>698</v>
      </c>
    </row>
    <row r="317" spans="1:10" x14ac:dyDescent="0.25">
      <c r="A317" s="18" t="s">
        <v>543</v>
      </c>
      <c r="B317">
        <v>0.13180274672169701</v>
      </c>
      <c r="C317" s="17">
        <f t="shared" si="4"/>
        <v>44981</v>
      </c>
      <c r="D317" s="17"/>
      <c r="J317" s="2" t="s">
        <v>699</v>
      </c>
    </row>
    <row r="318" spans="1:10" x14ac:dyDescent="0.25">
      <c r="A318" s="18" t="s">
        <v>849</v>
      </c>
      <c r="B318">
        <v>0.1318150943862374</v>
      </c>
      <c r="C318" s="17">
        <f t="shared" si="4"/>
        <v>44982</v>
      </c>
      <c r="D318" s="17"/>
      <c r="J318" s="2" t="s">
        <v>700</v>
      </c>
    </row>
    <row r="319" spans="1:10" x14ac:dyDescent="0.25">
      <c r="A319" s="18" t="s">
        <v>1248</v>
      </c>
      <c r="B319">
        <v>0.13191362955145702</v>
      </c>
      <c r="C319" s="17">
        <f t="shared" si="4"/>
        <v>44983</v>
      </c>
      <c r="D319" s="17"/>
      <c r="J319" s="2" t="s">
        <v>701</v>
      </c>
    </row>
    <row r="320" spans="1:10" x14ac:dyDescent="0.25">
      <c r="A320" s="18" t="s">
        <v>219</v>
      </c>
      <c r="B320">
        <v>0.13194531421775446</v>
      </c>
      <c r="C320" s="17">
        <f t="shared" si="4"/>
        <v>44984</v>
      </c>
      <c r="D320" s="17"/>
      <c r="J320" s="2" t="s">
        <v>702</v>
      </c>
    </row>
    <row r="321" spans="1:10" x14ac:dyDescent="0.25">
      <c r="A321" s="18" t="s">
        <v>60</v>
      </c>
      <c r="B321">
        <v>0.13232621537800793</v>
      </c>
      <c r="C321" s="17">
        <f t="shared" si="4"/>
        <v>44985</v>
      </c>
      <c r="D321" s="17"/>
      <c r="J321" s="2" t="s">
        <v>703</v>
      </c>
    </row>
    <row r="322" spans="1:10" x14ac:dyDescent="0.25">
      <c r="A322" s="18" t="s">
        <v>1392</v>
      </c>
      <c r="B322">
        <v>0.13271454263425031</v>
      </c>
      <c r="C322" s="17">
        <f t="shared" si="4"/>
        <v>44986</v>
      </c>
      <c r="D322" s="17"/>
      <c r="J322" s="2" t="s">
        <v>704</v>
      </c>
    </row>
    <row r="323" spans="1:10" x14ac:dyDescent="0.25">
      <c r="A323" s="18" t="s">
        <v>898</v>
      </c>
      <c r="B323">
        <v>0.13308345254336817</v>
      </c>
      <c r="C323" s="17">
        <f t="shared" si="4"/>
        <v>44987</v>
      </c>
      <c r="D323" s="17"/>
      <c r="J323" s="2" t="s">
        <v>705</v>
      </c>
    </row>
    <row r="324" spans="1:10" x14ac:dyDescent="0.25">
      <c r="A324" s="18" t="s">
        <v>822</v>
      </c>
      <c r="B324">
        <v>0.13398440663200317</v>
      </c>
      <c r="C324" s="17">
        <f t="shared" ref="C324:C387" si="5">C323+1</f>
        <v>44988</v>
      </c>
      <c r="D324" s="17"/>
      <c r="J324" s="2" t="s">
        <v>706</v>
      </c>
    </row>
    <row r="325" spans="1:10" x14ac:dyDescent="0.25">
      <c r="A325" s="18" t="s">
        <v>237</v>
      </c>
      <c r="B325">
        <v>0.13490222114198891</v>
      </c>
      <c r="C325" s="17">
        <f t="shared" si="5"/>
        <v>44989</v>
      </c>
      <c r="D325" s="17"/>
      <c r="J325" s="2" t="s">
        <v>707</v>
      </c>
    </row>
    <row r="326" spans="1:10" x14ac:dyDescent="0.25">
      <c r="A326" s="18" t="s">
        <v>220</v>
      </c>
      <c r="B326">
        <v>0.13537068185419843</v>
      </c>
      <c r="C326" s="17">
        <f t="shared" si="5"/>
        <v>44990</v>
      </c>
      <c r="D326" s="17"/>
      <c r="J326" s="2" t="s">
        <v>708</v>
      </c>
    </row>
    <row r="327" spans="1:10" x14ac:dyDescent="0.25">
      <c r="A327" s="18" t="s">
        <v>359</v>
      </c>
      <c r="B327">
        <v>0.13551040623058319</v>
      </c>
      <c r="C327" s="17">
        <f t="shared" si="5"/>
        <v>44991</v>
      </c>
      <c r="D327" s="17"/>
      <c r="J327" s="2" t="s">
        <v>383</v>
      </c>
    </row>
    <row r="328" spans="1:10" x14ac:dyDescent="0.25">
      <c r="A328" s="18" t="s">
        <v>1743</v>
      </c>
      <c r="B328">
        <v>0.13697317465956838</v>
      </c>
      <c r="C328" s="17">
        <f t="shared" si="5"/>
        <v>44992</v>
      </c>
      <c r="D328" s="17"/>
      <c r="J328" s="2" t="s">
        <v>709</v>
      </c>
    </row>
    <row r="329" spans="1:10" x14ac:dyDescent="0.25">
      <c r="A329" s="18" t="s">
        <v>91</v>
      </c>
      <c r="B329">
        <v>0.13703315602992161</v>
      </c>
      <c r="C329" s="17">
        <f t="shared" si="5"/>
        <v>44993</v>
      </c>
      <c r="D329" s="17"/>
      <c r="J329" s="2" t="s">
        <v>422</v>
      </c>
    </row>
    <row r="330" spans="1:10" x14ac:dyDescent="0.25">
      <c r="A330" s="18" t="s">
        <v>1075</v>
      </c>
      <c r="B330">
        <v>0.13769036452117067</v>
      </c>
      <c r="C330" s="17">
        <f t="shared" si="5"/>
        <v>44994</v>
      </c>
      <c r="D330" s="17"/>
      <c r="J330" s="2" t="s">
        <v>710</v>
      </c>
    </row>
    <row r="331" spans="1:10" x14ac:dyDescent="0.25">
      <c r="A331" s="18" t="s">
        <v>1360</v>
      </c>
      <c r="B331">
        <v>0.13802744131203293</v>
      </c>
      <c r="C331" s="17">
        <f t="shared" si="5"/>
        <v>44995</v>
      </c>
      <c r="D331" s="17"/>
      <c r="J331" s="2" t="s">
        <v>711</v>
      </c>
    </row>
    <row r="332" spans="1:10" x14ac:dyDescent="0.25">
      <c r="A332" s="18" t="s">
        <v>1954</v>
      </c>
      <c r="B332">
        <v>0.1382179675301658</v>
      </c>
      <c r="C332" s="17">
        <f t="shared" si="5"/>
        <v>44996</v>
      </c>
      <c r="D332" s="17"/>
      <c r="J332" s="2" t="s">
        <v>712</v>
      </c>
    </row>
    <row r="333" spans="1:10" x14ac:dyDescent="0.25">
      <c r="A333" s="18" t="s">
        <v>605</v>
      </c>
      <c r="B333">
        <v>0.13832556813531416</v>
      </c>
      <c r="C333" s="17">
        <f t="shared" si="5"/>
        <v>44997</v>
      </c>
      <c r="D333" s="17"/>
      <c r="J333" s="2" t="s">
        <v>713</v>
      </c>
    </row>
    <row r="334" spans="1:10" x14ac:dyDescent="0.25">
      <c r="A334" s="18" t="s">
        <v>1292</v>
      </c>
      <c r="B334">
        <v>0.13885172465364226</v>
      </c>
      <c r="C334" s="17">
        <f t="shared" si="5"/>
        <v>44998</v>
      </c>
      <c r="D334" s="17"/>
      <c r="J334" s="2" t="s">
        <v>714</v>
      </c>
    </row>
    <row r="335" spans="1:10" x14ac:dyDescent="0.25">
      <c r="A335" s="18" t="s">
        <v>1730</v>
      </c>
      <c r="B335">
        <v>0.13912995791227467</v>
      </c>
      <c r="C335" s="17">
        <f t="shared" si="5"/>
        <v>44999</v>
      </c>
      <c r="D335" s="17"/>
      <c r="J335" s="2" t="s">
        <v>715</v>
      </c>
    </row>
    <row r="336" spans="1:10" x14ac:dyDescent="0.25">
      <c r="A336" s="18" t="s">
        <v>1709</v>
      </c>
      <c r="B336">
        <v>0.13919094409797661</v>
      </c>
      <c r="C336" s="17">
        <f t="shared" si="5"/>
        <v>45000</v>
      </c>
      <c r="D336" s="17"/>
      <c r="J336" s="2" t="s">
        <v>716</v>
      </c>
    </row>
    <row r="337" spans="1:10" x14ac:dyDescent="0.25">
      <c r="A337" s="18" t="s">
        <v>813</v>
      </c>
      <c r="B337">
        <v>0.14064114006858408</v>
      </c>
      <c r="C337" s="17">
        <f t="shared" si="5"/>
        <v>45001</v>
      </c>
      <c r="D337" s="17"/>
      <c r="J337" s="2" t="s">
        <v>717</v>
      </c>
    </row>
    <row r="338" spans="1:10" x14ac:dyDescent="0.25">
      <c r="A338" s="18" t="s">
        <v>488</v>
      </c>
      <c r="B338">
        <v>0.14098939565281898</v>
      </c>
      <c r="C338" s="17">
        <f t="shared" si="5"/>
        <v>45002</v>
      </c>
      <c r="D338" s="17"/>
      <c r="J338" s="2" t="s">
        <v>718</v>
      </c>
    </row>
    <row r="339" spans="1:10" x14ac:dyDescent="0.25">
      <c r="A339" s="18" t="s">
        <v>1480</v>
      </c>
      <c r="B339">
        <v>0.14102493575869157</v>
      </c>
      <c r="C339" s="17">
        <f t="shared" si="5"/>
        <v>45003</v>
      </c>
      <c r="D339" s="17"/>
      <c r="J339" s="2" t="s">
        <v>231</v>
      </c>
    </row>
    <row r="340" spans="1:10" x14ac:dyDescent="0.25">
      <c r="A340" s="18" t="s">
        <v>1106</v>
      </c>
      <c r="B340">
        <v>0.14158455581703855</v>
      </c>
      <c r="C340" s="17">
        <f t="shared" si="5"/>
        <v>45004</v>
      </c>
      <c r="D340" s="17"/>
      <c r="J340" s="2" t="s">
        <v>467</v>
      </c>
    </row>
    <row r="341" spans="1:10" x14ac:dyDescent="0.25">
      <c r="A341" s="18" t="s">
        <v>217</v>
      </c>
      <c r="B341">
        <v>0.14210865955087226</v>
      </c>
      <c r="C341" s="17">
        <f t="shared" si="5"/>
        <v>45005</v>
      </c>
      <c r="D341" s="17"/>
      <c r="J341" s="2" t="s">
        <v>719</v>
      </c>
    </row>
    <row r="342" spans="1:10" x14ac:dyDescent="0.25">
      <c r="A342" s="18" t="s">
        <v>1545</v>
      </c>
      <c r="B342">
        <v>0.14248789919993954</v>
      </c>
      <c r="C342" s="17">
        <f t="shared" si="5"/>
        <v>45006</v>
      </c>
      <c r="D342" s="17"/>
      <c r="J342" s="2" t="s">
        <v>39</v>
      </c>
    </row>
    <row r="343" spans="1:10" x14ac:dyDescent="0.25">
      <c r="A343" s="18" t="s">
        <v>165</v>
      </c>
      <c r="B343">
        <v>0.14364230267756883</v>
      </c>
      <c r="C343" s="17">
        <f t="shared" si="5"/>
        <v>45007</v>
      </c>
      <c r="D343" s="17"/>
      <c r="J343" s="2" t="s">
        <v>720</v>
      </c>
    </row>
    <row r="344" spans="1:10" x14ac:dyDescent="0.25">
      <c r="A344" s="18" t="s">
        <v>1774</v>
      </c>
      <c r="B344">
        <v>0.14429565921212284</v>
      </c>
      <c r="C344" s="17">
        <f t="shared" si="5"/>
        <v>45008</v>
      </c>
      <c r="D344" s="17"/>
      <c r="J344" s="2" t="s">
        <v>166</v>
      </c>
    </row>
    <row r="345" spans="1:10" x14ac:dyDescent="0.25">
      <c r="A345" s="18" t="s">
        <v>308</v>
      </c>
      <c r="B345">
        <v>0.14500084591221818</v>
      </c>
      <c r="C345" s="17">
        <f t="shared" si="5"/>
        <v>45009</v>
      </c>
      <c r="D345" s="17"/>
      <c r="J345" s="2" t="s">
        <v>721</v>
      </c>
    </row>
    <row r="346" spans="1:10" x14ac:dyDescent="0.25">
      <c r="A346" s="18" t="s">
        <v>847</v>
      </c>
      <c r="B346">
        <v>0.1454500959981504</v>
      </c>
      <c r="C346" s="17">
        <f t="shared" si="5"/>
        <v>45010</v>
      </c>
      <c r="D346" s="17"/>
      <c r="J346" s="2" t="s">
        <v>722</v>
      </c>
    </row>
    <row r="347" spans="1:10" x14ac:dyDescent="0.25">
      <c r="A347" s="18" t="s">
        <v>478</v>
      </c>
      <c r="B347">
        <v>0.14566765227012213</v>
      </c>
      <c r="C347" s="17">
        <f t="shared" si="5"/>
        <v>45011</v>
      </c>
      <c r="D347" s="17"/>
      <c r="J347" s="2" t="s">
        <v>236</v>
      </c>
    </row>
    <row r="348" spans="1:10" x14ac:dyDescent="0.25">
      <c r="A348" s="18" t="s">
        <v>53</v>
      </c>
      <c r="B348">
        <v>0.14599647334416022</v>
      </c>
      <c r="C348" s="17">
        <f t="shared" si="5"/>
        <v>45012</v>
      </c>
      <c r="D348" s="17"/>
      <c r="J348" s="2" t="s">
        <v>723</v>
      </c>
    </row>
    <row r="349" spans="1:10" x14ac:dyDescent="0.25">
      <c r="A349" s="18" t="s">
        <v>2267</v>
      </c>
      <c r="B349">
        <v>0.14655338283547281</v>
      </c>
      <c r="C349" s="17">
        <f t="shared" si="5"/>
        <v>45013</v>
      </c>
      <c r="D349" s="17"/>
      <c r="J349" s="2" t="s">
        <v>13</v>
      </c>
    </row>
    <row r="350" spans="1:10" x14ac:dyDescent="0.25">
      <c r="A350" s="18" t="s">
        <v>715</v>
      </c>
      <c r="B350">
        <v>0.14674102757060192</v>
      </c>
      <c r="C350" s="17">
        <f t="shared" si="5"/>
        <v>45014</v>
      </c>
      <c r="D350" s="17"/>
      <c r="J350" s="2" t="s">
        <v>724</v>
      </c>
    </row>
    <row r="351" spans="1:10" x14ac:dyDescent="0.25">
      <c r="A351" s="18" t="s">
        <v>238</v>
      </c>
      <c r="B351">
        <v>0.1473766529069418</v>
      </c>
      <c r="C351" s="17">
        <f t="shared" si="5"/>
        <v>45015</v>
      </c>
      <c r="D351" s="17"/>
      <c r="J351" s="2" t="s">
        <v>29</v>
      </c>
    </row>
    <row r="352" spans="1:10" x14ac:dyDescent="0.25">
      <c r="A352" s="18" t="s">
        <v>2089</v>
      </c>
      <c r="B352">
        <v>0.14805401877981028</v>
      </c>
      <c r="C352" s="17">
        <f t="shared" si="5"/>
        <v>45016</v>
      </c>
      <c r="D352" s="17"/>
      <c r="J352" s="2" t="s">
        <v>725</v>
      </c>
    </row>
    <row r="353" spans="1:10" x14ac:dyDescent="0.25">
      <c r="A353" s="18" t="s">
        <v>656</v>
      </c>
      <c r="B353">
        <v>0.14837048508023598</v>
      </c>
      <c r="C353" s="17">
        <f t="shared" si="5"/>
        <v>45017</v>
      </c>
      <c r="D353" s="17"/>
      <c r="J353" s="2" t="s">
        <v>726</v>
      </c>
    </row>
    <row r="354" spans="1:10" x14ac:dyDescent="0.25">
      <c r="A354" s="18" t="s">
        <v>533</v>
      </c>
      <c r="B354">
        <v>0.14848082860134237</v>
      </c>
      <c r="C354" s="17">
        <f t="shared" si="5"/>
        <v>45018</v>
      </c>
      <c r="D354" s="17"/>
      <c r="J354" s="2" t="s">
        <v>727</v>
      </c>
    </row>
    <row r="355" spans="1:10" x14ac:dyDescent="0.25">
      <c r="A355" s="18" t="s">
        <v>2313</v>
      </c>
      <c r="B355">
        <v>0.14865361015872569</v>
      </c>
      <c r="C355" s="17">
        <f t="shared" si="5"/>
        <v>45019</v>
      </c>
      <c r="D355" s="17"/>
      <c r="J355" s="2" t="s">
        <v>728</v>
      </c>
    </row>
    <row r="356" spans="1:10" x14ac:dyDescent="0.25">
      <c r="A356" s="18" t="s">
        <v>1484</v>
      </c>
      <c r="B356">
        <v>0.14999086886175939</v>
      </c>
      <c r="C356" s="17">
        <f t="shared" si="5"/>
        <v>45020</v>
      </c>
      <c r="D356" s="17"/>
      <c r="J356" s="2" t="s">
        <v>729</v>
      </c>
    </row>
    <row r="357" spans="1:10" x14ac:dyDescent="0.25">
      <c r="A357" s="18" t="s">
        <v>752</v>
      </c>
      <c r="B357">
        <v>0.15016708316347094</v>
      </c>
      <c r="C357" s="17">
        <f t="shared" si="5"/>
        <v>45021</v>
      </c>
      <c r="D357" s="17"/>
      <c r="J357" s="2" t="s">
        <v>730</v>
      </c>
    </row>
    <row r="358" spans="1:10" x14ac:dyDescent="0.25">
      <c r="A358" s="18" t="s">
        <v>556</v>
      </c>
      <c r="B358">
        <v>0.15074077919438722</v>
      </c>
      <c r="C358" s="17">
        <f t="shared" si="5"/>
        <v>45022</v>
      </c>
      <c r="D358" s="17"/>
      <c r="J358" s="2" t="s">
        <v>731</v>
      </c>
    </row>
    <row r="359" spans="1:10" x14ac:dyDescent="0.25">
      <c r="A359" s="18" t="s">
        <v>155</v>
      </c>
      <c r="B359">
        <v>0.15097249659887935</v>
      </c>
      <c r="C359" s="17">
        <f t="shared" si="5"/>
        <v>45023</v>
      </c>
      <c r="D359" s="17"/>
      <c r="J359" s="2" t="s">
        <v>269</v>
      </c>
    </row>
    <row r="360" spans="1:10" x14ac:dyDescent="0.25">
      <c r="A360" s="18" t="s">
        <v>1349</v>
      </c>
      <c r="B360">
        <v>0.15112248280789342</v>
      </c>
      <c r="C360" s="17">
        <f t="shared" si="5"/>
        <v>45024</v>
      </c>
      <c r="D360" s="17"/>
      <c r="J360" s="2" t="s">
        <v>732</v>
      </c>
    </row>
    <row r="361" spans="1:10" x14ac:dyDescent="0.25">
      <c r="A361" s="18" t="s">
        <v>966</v>
      </c>
      <c r="B361">
        <v>0.15183782234440146</v>
      </c>
      <c r="C361" s="17">
        <f t="shared" si="5"/>
        <v>45025</v>
      </c>
      <c r="D361" s="17"/>
      <c r="J361" s="2" t="s">
        <v>108</v>
      </c>
    </row>
    <row r="362" spans="1:10" x14ac:dyDescent="0.25">
      <c r="A362" s="18" t="s">
        <v>2268</v>
      </c>
      <c r="B362">
        <v>0.15224535564284714</v>
      </c>
      <c r="C362" s="17">
        <f t="shared" si="5"/>
        <v>45026</v>
      </c>
      <c r="D362" s="17"/>
      <c r="J362" s="2" t="s">
        <v>733</v>
      </c>
    </row>
    <row r="363" spans="1:10" x14ac:dyDescent="0.25">
      <c r="A363" s="18" t="s">
        <v>43</v>
      </c>
      <c r="B363">
        <v>0.15231252342183654</v>
      </c>
      <c r="C363" s="17">
        <f t="shared" si="5"/>
        <v>45027</v>
      </c>
      <c r="D363" s="17"/>
      <c r="J363" s="2" t="s">
        <v>734</v>
      </c>
    </row>
    <row r="364" spans="1:10" x14ac:dyDescent="0.25">
      <c r="A364" s="18" t="s">
        <v>505</v>
      </c>
      <c r="B364">
        <v>0.15233543246421422</v>
      </c>
      <c r="C364" s="17">
        <f t="shared" si="5"/>
        <v>45028</v>
      </c>
      <c r="D364" s="17"/>
      <c r="J364" s="2" t="s">
        <v>735</v>
      </c>
    </row>
    <row r="365" spans="1:10" x14ac:dyDescent="0.25">
      <c r="A365" s="18" t="s">
        <v>529</v>
      </c>
      <c r="B365">
        <v>0.15249514734731617</v>
      </c>
      <c r="C365" s="17">
        <f t="shared" si="5"/>
        <v>45029</v>
      </c>
      <c r="D365" s="17"/>
      <c r="J365" s="2" t="s">
        <v>736</v>
      </c>
    </row>
    <row r="366" spans="1:10" x14ac:dyDescent="0.25">
      <c r="A366" s="18" t="s">
        <v>481</v>
      </c>
      <c r="B366">
        <v>0.15297879768532596</v>
      </c>
      <c r="C366" s="17">
        <f t="shared" si="5"/>
        <v>45030</v>
      </c>
      <c r="D366" s="17"/>
      <c r="J366" s="2" t="s">
        <v>737</v>
      </c>
    </row>
    <row r="367" spans="1:10" x14ac:dyDescent="0.25">
      <c r="A367" s="18" t="s">
        <v>384</v>
      </c>
      <c r="B367">
        <v>0.15299416698957002</v>
      </c>
      <c r="C367" s="17">
        <f t="shared" si="5"/>
        <v>45031</v>
      </c>
      <c r="D367" s="17"/>
      <c r="J367" s="2" t="s">
        <v>738</v>
      </c>
    </row>
    <row r="368" spans="1:10" x14ac:dyDescent="0.25">
      <c r="A368" s="18" t="s">
        <v>286</v>
      </c>
      <c r="B368">
        <v>0.15321816625230811</v>
      </c>
      <c r="C368" s="17">
        <f t="shared" si="5"/>
        <v>45032</v>
      </c>
      <c r="D368" s="17"/>
      <c r="J368" s="2" t="s">
        <v>739</v>
      </c>
    </row>
    <row r="369" spans="1:10" x14ac:dyDescent="0.25">
      <c r="A369" s="18" t="s">
        <v>983</v>
      </c>
      <c r="B369">
        <v>0.15339304579571855</v>
      </c>
      <c r="C369" s="17">
        <f t="shared" si="5"/>
        <v>45033</v>
      </c>
      <c r="D369" s="17"/>
      <c r="J369" s="2" t="s">
        <v>151</v>
      </c>
    </row>
    <row r="370" spans="1:10" x14ac:dyDescent="0.25">
      <c r="A370" s="18" t="s">
        <v>5</v>
      </c>
      <c r="B370">
        <v>0.15353424722298048</v>
      </c>
      <c r="C370" s="17">
        <f t="shared" si="5"/>
        <v>45034</v>
      </c>
      <c r="D370" s="17"/>
      <c r="J370" s="2" t="s">
        <v>740</v>
      </c>
    </row>
    <row r="371" spans="1:10" x14ac:dyDescent="0.25">
      <c r="A371" s="18" t="s">
        <v>895</v>
      </c>
      <c r="B371">
        <v>0.15365344201559816</v>
      </c>
      <c r="C371" s="17">
        <f t="shared" si="5"/>
        <v>45035</v>
      </c>
      <c r="D371" s="17"/>
      <c r="J371" s="2" t="s">
        <v>741</v>
      </c>
    </row>
    <row r="372" spans="1:10" x14ac:dyDescent="0.25">
      <c r="A372" s="18" t="s">
        <v>939</v>
      </c>
      <c r="B372">
        <v>0.15365394297915536</v>
      </c>
      <c r="C372" s="17">
        <f t="shared" si="5"/>
        <v>45036</v>
      </c>
      <c r="D372" s="17"/>
      <c r="J372" s="2" t="s">
        <v>742</v>
      </c>
    </row>
    <row r="373" spans="1:10" x14ac:dyDescent="0.25">
      <c r="A373" s="18" t="s">
        <v>1460</v>
      </c>
      <c r="B373">
        <v>0.15524985048213702</v>
      </c>
      <c r="C373" s="17">
        <f t="shared" si="5"/>
        <v>45037</v>
      </c>
      <c r="D373" s="17"/>
      <c r="J373" s="2" t="s">
        <v>743</v>
      </c>
    </row>
    <row r="374" spans="1:10" x14ac:dyDescent="0.25">
      <c r="A374" s="18" t="s">
        <v>1294</v>
      </c>
      <c r="B374">
        <v>0.15645883771588687</v>
      </c>
      <c r="C374" s="17">
        <f t="shared" si="5"/>
        <v>45038</v>
      </c>
      <c r="D374" s="17"/>
      <c r="J374" s="2" t="s">
        <v>744</v>
      </c>
    </row>
    <row r="375" spans="1:10" x14ac:dyDescent="0.25">
      <c r="A375" s="18" t="s">
        <v>1706</v>
      </c>
      <c r="B375">
        <v>0.15652324155105235</v>
      </c>
      <c r="C375" s="17">
        <f t="shared" si="5"/>
        <v>45039</v>
      </c>
      <c r="D375" s="17"/>
      <c r="J375" s="2" t="s">
        <v>745</v>
      </c>
    </row>
    <row r="376" spans="1:10" x14ac:dyDescent="0.25">
      <c r="A376" s="18" t="s">
        <v>1425</v>
      </c>
      <c r="B376">
        <v>0.15711527994848662</v>
      </c>
      <c r="C376" s="17">
        <f t="shared" si="5"/>
        <v>45040</v>
      </c>
      <c r="D376" s="17"/>
      <c r="J376" s="2" t="s">
        <v>746</v>
      </c>
    </row>
    <row r="377" spans="1:10" x14ac:dyDescent="0.25">
      <c r="A377" s="18" t="s">
        <v>835</v>
      </c>
      <c r="B377">
        <v>0.15757272989674553</v>
      </c>
      <c r="C377" s="17">
        <f t="shared" si="5"/>
        <v>45041</v>
      </c>
      <c r="D377" s="17"/>
      <c r="J377" s="2" t="s">
        <v>747</v>
      </c>
    </row>
    <row r="378" spans="1:10" x14ac:dyDescent="0.25">
      <c r="A378" s="18" t="s">
        <v>1840</v>
      </c>
      <c r="B378">
        <v>0.15827848962372826</v>
      </c>
      <c r="C378" s="17">
        <f t="shared" si="5"/>
        <v>45042</v>
      </c>
      <c r="D378" s="17"/>
      <c r="J378" s="2" t="s">
        <v>748</v>
      </c>
    </row>
    <row r="379" spans="1:10" x14ac:dyDescent="0.25">
      <c r="A379" s="18" t="s">
        <v>1023</v>
      </c>
      <c r="B379">
        <v>0.15867818747366014</v>
      </c>
      <c r="C379" s="17">
        <f t="shared" si="5"/>
        <v>45043</v>
      </c>
      <c r="D379" s="17"/>
      <c r="J379" s="2" t="s">
        <v>33</v>
      </c>
    </row>
    <row r="380" spans="1:10" x14ac:dyDescent="0.25">
      <c r="A380" s="18" t="s">
        <v>756</v>
      </c>
      <c r="B380">
        <v>0.1586831970067587</v>
      </c>
      <c r="C380" s="17">
        <f t="shared" si="5"/>
        <v>45044</v>
      </c>
      <c r="D380" s="17"/>
      <c r="J380" s="2" t="s">
        <v>749</v>
      </c>
    </row>
    <row r="381" spans="1:10" x14ac:dyDescent="0.25">
      <c r="A381" s="18" t="s">
        <v>511</v>
      </c>
      <c r="B381">
        <v>0.15960711269478611</v>
      </c>
      <c r="C381" s="17">
        <f t="shared" si="5"/>
        <v>45045</v>
      </c>
      <c r="D381" s="17"/>
      <c r="J381" s="2" t="s">
        <v>750</v>
      </c>
    </row>
    <row r="382" spans="1:10" x14ac:dyDescent="0.25">
      <c r="A382" s="18" t="s">
        <v>1847</v>
      </c>
      <c r="B382">
        <v>0.15978712480878199</v>
      </c>
      <c r="C382" s="17">
        <f t="shared" si="5"/>
        <v>45046</v>
      </c>
      <c r="D382" s="17"/>
      <c r="J382" s="2" t="s">
        <v>751</v>
      </c>
    </row>
    <row r="383" spans="1:10" x14ac:dyDescent="0.25">
      <c r="A383" s="18" t="s">
        <v>823</v>
      </c>
      <c r="B383">
        <v>0.16013838555279569</v>
      </c>
      <c r="C383" s="17">
        <f t="shared" si="5"/>
        <v>45047</v>
      </c>
      <c r="D383" s="17"/>
      <c r="J383" s="2" t="s">
        <v>752</v>
      </c>
    </row>
    <row r="384" spans="1:10" x14ac:dyDescent="0.25">
      <c r="A384" s="18" t="s">
        <v>821</v>
      </c>
      <c r="B384">
        <v>0.16146480846453282</v>
      </c>
      <c r="C384" s="17">
        <f t="shared" si="5"/>
        <v>45048</v>
      </c>
      <c r="D384" s="17"/>
      <c r="J384" s="2" t="s">
        <v>753</v>
      </c>
    </row>
    <row r="385" spans="1:10" x14ac:dyDescent="0.25">
      <c r="A385" s="18" t="s">
        <v>1769</v>
      </c>
      <c r="B385">
        <v>0.16199261694462019</v>
      </c>
      <c r="C385" s="17">
        <f t="shared" si="5"/>
        <v>45049</v>
      </c>
      <c r="D385" s="17"/>
      <c r="J385" s="2" t="s">
        <v>754</v>
      </c>
    </row>
    <row r="386" spans="1:10" x14ac:dyDescent="0.25">
      <c r="A386" s="18" t="s">
        <v>102</v>
      </c>
      <c r="B386">
        <v>0.1622377515508</v>
      </c>
      <c r="C386" s="17">
        <f t="shared" si="5"/>
        <v>45050</v>
      </c>
      <c r="D386" s="17"/>
      <c r="J386" s="2" t="s">
        <v>755</v>
      </c>
    </row>
    <row r="387" spans="1:10" x14ac:dyDescent="0.25">
      <c r="A387" s="18" t="s">
        <v>1119</v>
      </c>
      <c r="B387">
        <v>0.16226519970391662</v>
      </c>
      <c r="C387" s="17">
        <f t="shared" si="5"/>
        <v>45051</v>
      </c>
      <c r="D387" s="17"/>
      <c r="J387" s="2" t="s">
        <v>756</v>
      </c>
    </row>
    <row r="388" spans="1:10" x14ac:dyDescent="0.25">
      <c r="A388" s="18" t="s">
        <v>832</v>
      </c>
      <c r="B388">
        <v>0.16252821957157015</v>
      </c>
      <c r="C388" s="17">
        <f t="shared" ref="C388:C451" si="6">C387+1</f>
        <v>45052</v>
      </c>
      <c r="D388" s="17"/>
      <c r="J388" s="2" t="s">
        <v>757</v>
      </c>
    </row>
    <row r="389" spans="1:10" x14ac:dyDescent="0.25">
      <c r="A389" s="18" t="s">
        <v>201</v>
      </c>
      <c r="B389">
        <v>0.16395873102358283</v>
      </c>
      <c r="C389" s="17">
        <f t="shared" si="6"/>
        <v>45053</v>
      </c>
      <c r="D389" s="17"/>
      <c r="J389" s="2" t="s">
        <v>758</v>
      </c>
    </row>
    <row r="390" spans="1:10" x14ac:dyDescent="0.25">
      <c r="A390" s="18" t="s">
        <v>2036</v>
      </c>
      <c r="B390">
        <v>0.16416783165518556</v>
      </c>
      <c r="C390" s="17">
        <f t="shared" si="6"/>
        <v>45054</v>
      </c>
      <c r="D390" s="17"/>
      <c r="J390" s="2" t="s">
        <v>759</v>
      </c>
    </row>
    <row r="391" spans="1:10" x14ac:dyDescent="0.25">
      <c r="A391" s="18" t="s">
        <v>2059</v>
      </c>
      <c r="B391">
        <v>0.16435402861801851</v>
      </c>
      <c r="C391" s="17">
        <f t="shared" si="6"/>
        <v>45055</v>
      </c>
      <c r="D391" s="17"/>
      <c r="J391" s="2" t="s">
        <v>760</v>
      </c>
    </row>
    <row r="392" spans="1:10" x14ac:dyDescent="0.25">
      <c r="A392" s="18" t="s">
        <v>1224</v>
      </c>
      <c r="B392">
        <v>0.16468930883514155</v>
      </c>
      <c r="C392" s="17">
        <f t="shared" si="6"/>
        <v>45056</v>
      </c>
      <c r="D392" s="17"/>
      <c r="J392" s="2" t="s">
        <v>761</v>
      </c>
    </row>
    <row r="393" spans="1:10" x14ac:dyDescent="0.25">
      <c r="A393" s="18" t="s">
        <v>499</v>
      </c>
      <c r="B393">
        <v>0.16473868458996765</v>
      </c>
      <c r="C393" s="17">
        <f t="shared" si="6"/>
        <v>45057</v>
      </c>
      <c r="D393" s="17"/>
      <c r="J393" s="2" t="s">
        <v>143</v>
      </c>
    </row>
    <row r="394" spans="1:10" x14ac:dyDescent="0.25">
      <c r="A394" s="18" t="s">
        <v>952</v>
      </c>
      <c r="B394">
        <v>0.16525269709496315</v>
      </c>
      <c r="C394" s="17">
        <f t="shared" si="6"/>
        <v>45058</v>
      </c>
      <c r="D394" s="17"/>
      <c r="J394" s="2" t="s">
        <v>762</v>
      </c>
    </row>
    <row r="395" spans="1:10" x14ac:dyDescent="0.25">
      <c r="A395" s="18" t="s">
        <v>1002</v>
      </c>
      <c r="B395">
        <v>0.16613508285434009</v>
      </c>
      <c r="C395" s="17">
        <f t="shared" si="6"/>
        <v>45059</v>
      </c>
      <c r="D395" s="17"/>
      <c r="J395" s="2" t="s">
        <v>763</v>
      </c>
    </row>
    <row r="396" spans="1:10" x14ac:dyDescent="0.25">
      <c r="A396" s="18" t="s">
        <v>1317</v>
      </c>
      <c r="B396">
        <v>0.16634506494130341</v>
      </c>
      <c r="C396" s="17">
        <f t="shared" si="6"/>
        <v>45060</v>
      </c>
      <c r="D396" s="17"/>
      <c r="J396" s="2" t="s">
        <v>764</v>
      </c>
    </row>
    <row r="397" spans="1:10" x14ac:dyDescent="0.25">
      <c r="A397" s="18" t="s">
        <v>1509</v>
      </c>
      <c r="B397">
        <v>0.16684643551133482</v>
      </c>
      <c r="C397" s="17">
        <f t="shared" si="6"/>
        <v>45061</v>
      </c>
      <c r="D397" s="17"/>
      <c r="J397" s="2" t="s">
        <v>765</v>
      </c>
    </row>
    <row r="398" spans="1:10" x14ac:dyDescent="0.25">
      <c r="A398" s="18" t="s">
        <v>1673</v>
      </c>
      <c r="B398">
        <v>0.16815503892024108</v>
      </c>
      <c r="C398" s="17">
        <f t="shared" si="6"/>
        <v>45062</v>
      </c>
      <c r="D398" s="17"/>
      <c r="J398" s="2" t="s">
        <v>766</v>
      </c>
    </row>
    <row r="399" spans="1:10" x14ac:dyDescent="0.25">
      <c r="A399" s="18" t="s">
        <v>1039</v>
      </c>
      <c r="B399">
        <v>0.16853606205588001</v>
      </c>
      <c r="C399" s="17">
        <f t="shared" si="6"/>
        <v>45063</v>
      </c>
      <c r="D399" s="17"/>
      <c r="J399" s="2" t="s">
        <v>446</v>
      </c>
    </row>
    <row r="400" spans="1:10" x14ac:dyDescent="0.25">
      <c r="A400" s="18" t="s">
        <v>1111</v>
      </c>
      <c r="B400">
        <v>0.16863260141467729</v>
      </c>
      <c r="C400" s="17">
        <f t="shared" si="6"/>
        <v>45064</v>
      </c>
      <c r="D400" s="17"/>
      <c r="J400" s="2" t="s">
        <v>767</v>
      </c>
    </row>
    <row r="401" spans="1:10" x14ac:dyDescent="0.25">
      <c r="A401" s="18" t="s">
        <v>2024</v>
      </c>
      <c r="B401">
        <v>0.16912919121742753</v>
      </c>
      <c r="C401" s="17">
        <f t="shared" si="6"/>
        <v>45065</v>
      </c>
      <c r="D401" s="17"/>
      <c r="J401" s="2" t="s">
        <v>768</v>
      </c>
    </row>
    <row r="402" spans="1:10" x14ac:dyDescent="0.25">
      <c r="A402" s="18" t="s">
        <v>897</v>
      </c>
      <c r="B402">
        <v>0.16915643291537152</v>
      </c>
      <c r="C402" s="17">
        <f t="shared" si="6"/>
        <v>45066</v>
      </c>
      <c r="D402" s="17"/>
      <c r="J402" s="2" t="s">
        <v>769</v>
      </c>
    </row>
    <row r="403" spans="1:10" x14ac:dyDescent="0.25">
      <c r="A403" s="18" t="s">
        <v>2080</v>
      </c>
      <c r="B403">
        <v>0.16933240739285171</v>
      </c>
      <c r="C403" s="17">
        <f t="shared" si="6"/>
        <v>45067</v>
      </c>
      <c r="D403" s="17"/>
      <c r="J403" s="2" t="s">
        <v>770</v>
      </c>
    </row>
    <row r="404" spans="1:10" x14ac:dyDescent="0.25">
      <c r="A404" s="18" t="s">
        <v>592</v>
      </c>
      <c r="B404">
        <v>0.16963378765547266</v>
      </c>
      <c r="C404" s="17">
        <f t="shared" si="6"/>
        <v>45068</v>
      </c>
      <c r="D404" s="17"/>
      <c r="J404" s="2" t="s">
        <v>248</v>
      </c>
    </row>
    <row r="405" spans="1:10" x14ac:dyDescent="0.25">
      <c r="A405" s="18" t="s">
        <v>47</v>
      </c>
      <c r="B405">
        <v>0.1697238715737035</v>
      </c>
      <c r="C405" s="17">
        <f t="shared" si="6"/>
        <v>45069</v>
      </c>
      <c r="D405" s="17"/>
      <c r="J405" s="2" t="s">
        <v>771</v>
      </c>
    </row>
    <row r="406" spans="1:10" x14ac:dyDescent="0.25">
      <c r="A406" s="18" t="s">
        <v>1076</v>
      </c>
      <c r="B406">
        <v>0.17081406346161165</v>
      </c>
      <c r="C406" s="17">
        <f t="shared" si="6"/>
        <v>45070</v>
      </c>
      <c r="D406" s="17"/>
      <c r="J406" s="2" t="s">
        <v>772</v>
      </c>
    </row>
    <row r="407" spans="1:10" x14ac:dyDescent="0.25">
      <c r="A407" s="18" t="s">
        <v>147</v>
      </c>
      <c r="B407">
        <v>0.17162147792154103</v>
      </c>
      <c r="C407" s="17">
        <f t="shared" si="6"/>
        <v>45071</v>
      </c>
      <c r="D407" s="17"/>
      <c r="J407" s="2" t="s">
        <v>773</v>
      </c>
    </row>
    <row r="408" spans="1:10" x14ac:dyDescent="0.25">
      <c r="A408" s="18" t="s">
        <v>1614</v>
      </c>
      <c r="B408">
        <v>0.17166464624509681</v>
      </c>
      <c r="C408" s="17">
        <f t="shared" si="6"/>
        <v>45072</v>
      </c>
      <c r="D408" s="17"/>
      <c r="J408" s="2" t="s">
        <v>774</v>
      </c>
    </row>
    <row r="409" spans="1:10" x14ac:dyDescent="0.25">
      <c r="A409" s="18" t="s">
        <v>298</v>
      </c>
      <c r="B409">
        <v>0.17270569073786579</v>
      </c>
      <c r="C409" s="17">
        <f t="shared" si="6"/>
        <v>45073</v>
      </c>
      <c r="D409" s="17"/>
      <c r="J409" s="2" t="s">
        <v>775</v>
      </c>
    </row>
    <row r="410" spans="1:10" x14ac:dyDescent="0.25">
      <c r="A410" s="18" t="s">
        <v>2097</v>
      </c>
      <c r="B410">
        <v>0.17313902885321708</v>
      </c>
      <c r="C410" s="17">
        <f t="shared" si="6"/>
        <v>45074</v>
      </c>
      <c r="D410" s="17"/>
      <c r="J410" s="2" t="s">
        <v>776</v>
      </c>
    </row>
    <row r="411" spans="1:10" x14ac:dyDescent="0.25">
      <c r="A411" s="18" t="s">
        <v>387</v>
      </c>
      <c r="B411">
        <v>0.17353783165634595</v>
      </c>
      <c r="C411" s="17">
        <f t="shared" si="6"/>
        <v>45075</v>
      </c>
      <c r="D411" s="17"/>
      <c r="J411" s="2" t="s">
        <v>777</v>
      </c>
    </row>
    <row r="412" spans="1:10" x14ac:dyDescent="0.25">
      <c r="A412" s="18" t="s">
        <v>2141</v>
      </c>
      <c r="B412">
        <v>0.17527999420499951</v>
      </c>
      <c r="C412" s="17">
        <f t="shared" si="6"/>
        <v>45076</v>
      </c>
      <c r="D412" s="17"/>
      <c r="J412" s="2" t="s">
        <v>22</v>
      </c>
    </row>
    <row r="413" spans="1:10" x14ac:dyDescent="0.25">
      <c r="A413" s="18" t="s">
        <v>549</v>
      </c>
      <c r="B413">
        <v>0.1755126359483411</v>
      </c>
      <c r="C413" s="17">
        <f t="shared" si="6"/>
        <v>45077</v>
      </c>
      <c r="D413" s="17"/>
      <c r="J413" s="2" t="s">
        <v>778</v>
      </c>
    </row>
    <row r="414" spans="1:10" x14ac:dyDescent="0.25">
      <c r="A414" s="18" t="s">
        <v>455</v>
      </c>
      <c r="B414">
        <v>0.17605154408336643</v>
      </c>
      <c r="C414" s="17">
        <f t="shared" si="6"/>
        <v>45078</v>
      </c>
      <c r="D414" s="17"/>
      <c r="J414" s="2" t="s">
        <v>779</v>
      </c>
    </row>
    <row r="415" spans="1:10" x14ac:dyDescent="0.25">
      <c r="A415" s="18" t="s">
        <v>335</v>
      </c>
      <c r="B415">
        <v>0.17637377789287689</v>
      </c>
      <c r="C415" s="17">
        <f t="shared" si="6"/>
        <v>45079</v>
      </c>
      <c r="D415" s="17"/>
      <c r="J415" s="2" t="s">
        <v>780</v>
      </c>
    </row>
    <row r="416" spans="1:10" x14ac:dyDescent="0.25">
      <c r="A416" s="18" t="s">
        <v>1134</v>
      </c>
      <c r="B416">
        <v>0.17681093157004801</v>
      </c>
      <c r="C416" s="17">
        <f t="shared" si="6"/>
        <v>45080</v>
      </c>
      <c r="D416" s="17"/>
      <c r="J416" s="2" t="s">
        <v>781</v>
      </c>
    </row>
    <row r="417" spans="1:10" x14ac:dyDescent="0.25">
      <c r="A417" s="18" t="s">
        <v>1256</v>
      </c>
      <c r="B417">
        <v>0.17775428087908662</v>
      </c>
      <c r="C417" s="17">
        <f t="shared" si="6"/>
        <v>45081</v>
      </c>
      <c r="D417" s="17"/>
      <c r="J417" s="2" t="s">
        <v>782</v>
      </c>
    </row>
    <row r="418" spans="1:10" x14ac:dyDescent="0.25">
      <c r="A418" s="18" t="s">
        <v>546</v>
      </c>
      <c r="B418">
        <v>0.17779587657768647</v>
      </c>
      <c r="C418" s="17">
        <f t="shared" si="6"/>
        <v>45082</v>
      </c>
      <c r="D418" s="17"/>
      <c r="J418" s="2" t="s">
        <v>283</v>
      </c>
    </row>
    <row r="419" spans="1:10" x14ac:dyDescent="0.25">
      <c r="A419" s="18" t="s">
        <v>2061</v>
      </c>
      <c r="B419">
        <v>0.17856456993178038</v>
      </c>
      <c r="C419" s="17">
        <f t="shared" si="6"/>
        <v>45083</v>
      </c>
      <c r="D419" s="17"/>
      <c r="J419" s="2" t="s">
        <v>783</v>
      </c>
    </row>
    <row r="420" spans="1:10" x14ac:dyDescent="0.25">
      <c r="A420" s="18" t="s">
        <v>2191</v>
      </c>
      <c r="B420">
        <v>0.17876406860515071</v>
      </c>
      <c r="C420" s="17">
        <f t="shared" si="6"/>
        <v>45084</v>
      </c>
      <c r="D420" s="17"/>
      <c r="J420" s="2" t="s">
        <v>784</v>
      </c>
    </row>
    <row r="421" spans="1:10" x14ac:dyDescent="0.25">
      <c r="A421" s="18" t="s">
        <v>1617</v>
      </c>
      <c r="B421">
        <v>0.17937336226010214</v>
      </c>
      <c r="C421" s="17">
        <f t="shared" si="6"/>
        <v>45085</v>
      </c>
      <c r="D421" s="17"/>
      <c r="J421" s="2" t="s">
        <v>785</v>
      </c>
    </row>
    <row r="422" spans="1:10" x14ac:dyDescent="0.25">
      <c r="A422" s="18" t="s">
        <v>364</v>
      </c>
      <c r="B422">
        <v>0.17953726193542097</v>
      </c>
      <c r="C422" s="17">
        <f t="shared" si="6"/>
        <v>45086</v>
      </c>
      <c r="D422" s="17"/>
      <c r="J422" s="2" t="s">
        <v>786</v>
      </c>
    </row>
    <row r="423" spans="1:10" x14ac:dyDescent="0.25">
      <c r="A423" s="18" t="s">
        <v>1073</v>
      </c>
      <c r="B423">
        <v>0.17971611943661703</v>
      </c>
      <c r="C423" s="17">
        <f t="shared" si="6"/>
        <v>45087</v>
      </c>
      <c r="D423" s="17"/>
      <c r="J423" s="2" t="s">
        <v>787</v>
      </c>
    </row>
    <row r="424" spans="1:10" x14ac:dyDescent="0.25">
      <c r="A424" s="18" t="s">
        <v>460</v>
      </c>
      <c r="B424">
        <v>0.18002981036167187</v>
      </c>
      <c r="C424" s="17">
        <f t="shared" si="6"/>
        <v>45088</v>
      </c>
      <c r="D424" s="17"/>
      <c r="J424" s="2" t="s">
        <v>788</v>
      </c>
    </row>
    <row r="425" spans="1:10" x14ac:dyDescent="0.25">
      <c r="A425" s="18" t="s">
        <v>1909</v>
      </c>
      <c r="B425">
        <v>0.1805373243598245</v>
      </c>
      <c r="C425" s="17">
        <f t="shared" si="6"/>
        <v>45089</v>
      </c>
      <c r="D425" s="17"/>
      <c r="J425" s="2" t="s">
        <v>789</v>
      </c>
    </row>
    <row r="426" spans="1:10" x14ac:dyDescent="0.25">
      <c r="A426" s="18" t="s">
        <v>1868</v>
      </c>
      <c r="B426">
        <v>0.18054706373619978</v>
      </c>
      <c r="C426" s="17">
        <f t="shared" si="6"/>
        <v>45090</v>
      </c>
      <c r="D426" s="17"/>
      <c r="J426" s="2" t="s">
        <v>790</v>
      </c>
    </row>
    <row r="427" spans="1:10" x14ac:dyDescent="0.25">
      <c r="A427" s="18" t="s">
        <v>961</v>
      </c>
      <c r="B427">
        <v>0.18134083996989148</v>
      </c>
      <c r="C427" s="17">
        <f t="shared" si="6"/>
        <v>45091</v>
      </c>
      <c r="D427" s="17"/>
      <c r="J427" s="2" t="s">
        <v>791</v>
      </c>
    </row>
    <row r="428" spans="1:10" x14ac:dyDescent="0.25">
      <c r="A428" s="18" t="s">
        <v>2166</v>
      </c>
      <c r="B428">
        <v>0.18166934766725817</v>
      </c>
      <c r="C428" s="17">
        <f t="shared" si="6"/>
        <v>45092</v>
      </c>
      <c r="D428" s="17"/>
      <c r="J428" s="2" t="s">
        <v>469</v>
      </c>
    </row>
    <row r="429" spans="1:10" x14ac:dyDescent="0.25">
      <c r="A429" s="18" t="s">
        <v>1071</v>
      </c>
      <c r="B429">
        <v>0.18201724279947074</v>
      </c>
      <c r="C429" s="17">
        <f t="shared" si="6"/>
        <v>45093</v>
      </c>
      <c r="D429" s="17"/>
      <c r="J429" s="2" t="s">
        <v>792</v>
      </c>
    </row>
    <row r="430" spans="1:10" x14ac:dyDescent="0.25">
      <c r="A430" s="18" t="s">
        <v>206</v>
      </c>
      <c r="B430">
        <v>0.18293206793239125</v>
      </c>
      <c r="C430" s="17">
        <f t="shared" si="6"/>
        <v>45094</v>
      </c>
      <c r="D430" s="17"/>
      <c r="J430" s="2" t="s">
        <v>793</v>
      </c>
    </row>
    <row r="431" spans="1:10" x14ac:dyDescent="0.25">
      <c r="A431" s="18" t="s">
        <v>1601</v>
      </c>
      <c r="B431">
        <v>0.18302778669770581</v>
      </c>
      <c r="C431" s="17">
        <f t="shared" si="6"/>
        <v>45095</v>
      </c>
      <c r="D431" s="17"/>
      <c r="J431" s="2" t="s">
        <v>794</v>
      </c>
    </row>
    <row r="432" spans="1:10" x14ac:dyDescent="0.25">
      <c r="A432" s="18" t="s">
        <v>1929</v>
      </c>
      <c r="B432">
        <v>0.1830832092826381</v>
      </c>
      <c r="C432" s="17">
        <f t="shared" si="6"/>
        <v>45096</v>
      </c>
      <c r="D432" s="17"/>
      <c r="J432" s="2" t="s">
        <v>795</v>
      </c>
    </row>
    <row r="433" spans="1:10" x14ac:dyDescent="0.25">
      <c r="A433" s="18" t="s">
        <v>1305</v>
      </c>
      <c r="B433">
        <v>0.18356288539548948</v>
      </c>
      <c r="C433" s="17">
        <f t="shared" si="6"/>
        <v>45097</v>
      </c>
      <c r="D433" s="17"/>
      <c r="J433" s="2" t="s">
        <v>796</v>
      </c>
    </row>
    <row r="434" spans="1:10" x14ac:dyDescent="0.25">
      <c r="A434" s="18" t="s">
        <v>1586</v>
      </c>
      <c r="B434">
        <v>0.18399485828054285</v>
      </c>
      <c r="C434" s="17">
        <f t="shared" si="6"/>
        <v>45098</v>
      </c>
      <c r="D434" s="17"/>
      <c r="J434" s="2" t="s">
        <v>797</v>
      </c>
    </row>
    <row r="435" spans="1:10" x14ac:dyDescent="0.25">
      <c r="A435" s="18" t="s">
        <v>1891</v>
      </c>
      <c r="B435">
        <v>0.18410616088808573</v>
      </c>
      <c r="C435" s="17">
        <f t="shared" si="6"/>
        <v>45099</v>
      </c>
      <c r="D435" s="17"/>
      <c r="J435" s="2" t="s">
        <v>798</v>
      </c>
    </row>
    <row r="436" spans="1:10" x14ac:dyDescent="0.25">
      <c r="A436" s="18" t="s">
        <v>438</v>
      </c>
      <c r="B436">
        <v>0.18431723628044583</v>
      </c>
      <c r="C436" s="17">
        <f t="shared" si="6"/>
        <v>45100</v>
      </c>
      <c r="D436" s="17"/>
      <c r="J436" s="2" t="s">
        <v>799</v>
      </c>
    </row>
    <row r="437" spans="1:10" x14ac:dyDescent="0.25">
      <c r="A437" s="18" t="s">
        <v>1279</v>
      </c>
      <c r="B437">
        <v>0.18474943813567835</v>
      </c>
      <c r="C437" s="17">
        <f t="shared" si="6"/>
        <v>45101</v>
      </c>
      <c r="D437" s="17"/>
      <c r="J437" s="2" t="s">
        <v>204</v>
      </c>
    </row>
    <row r="438" spans="1:10" x14ac:dyDescent="0.25">
      <c r="A438" s="18" t="s">
        <v>667</v>
      </c>
      <c r="B438">
        <v>0.18495757896115894</v>
      </c>
      <c r="C438" s="17">
        <f t="shared" si="6"/>
        <v>45102</v>
      </c>
      <c r="D438" s="17"/>
      <c r="J438" s="2" t="s">
        <v>800</v>
      </c>
    </row>
    <row r="439" spans="1:10" x14ac:dyDescent="0.25">
      <c r="A439" s="18" t="s">
        <v>169</v>
      </c>
      <c r="B439">
        <v>0.18500518901688823</v>
      </c>
      <c r="C439" s="17">
        <f t="shared" si="6"/>
        <v>45103</v>
      </c>
      <c r="D439" s="17"/>
      <c r="J439" s="2" t="s">
        <v>801</v>
      </c>
    </row>
    <row r="440" spans="1:10" x14ac:dyDescent="0.25">
      <c r="A440" s="18" t="s">
        <v>2258</v>
      </c>
      <c r="B440">
        <v>0.18536294561218292</v>
      </c>
      <c r="C440" s="17">
        <f t="shared" si="6"/>
        <v>45104</v>
      </c>
      <c r="D440" s="17"/>
      <c r="J440" s="2" t="s">
        <v>802</v>
      </c>
    </row>
    <row r="441" spans="1:10" x14ac:dyDescent="0.25">
      <c r="A441" s="18" t="s">
        <v>445</v>
      </c>
      <c r="B441">
        <v>0.18545935501736743</v>
      </c>
      <c r="C441" s="17">
        <f t="shared" si="6"/>
        <v>45105</v>
      </c>
      <c r="D441" s="17"/>
      <c r="J441" s="2" t="s">
        <v>803</v>
      </c>
    </row>
    <row r="442" spans="1:10" x14ac:dyDescent="0.25">
      <c r="A442" s="18" t="s">
        <v>331</v>
      </c>
      <c r="B442">
        <v>0.1855759050434832</v>
      </c>
      <c r="C442" s="17">
        <f t="shared" si="6"/>
        <v>45106</v>
      </c>
      <c r="D442" s="17"/>
      <c r="J442" s="2" t="s">
        <v>433</v>
      </c>
    </row>
    <row r="443" spans="1:10" x14ac:dyDescent="0.25">
      <c r="A443" s="18" t="s">
        <v>544</v>
      </c>
      <c r="B443">
        <v>0.18622544068568736</v>
      </c>
      <c r="C443" s="17">
        <f t="shared" si="6"/>
        <v>45107</v>
      </c>
      <c r="D443" s="17"/>
      <c r="J443" s="2" t="s">
        <v>804</v>
      </c>
    </row>
    <row r="444" spans="1:10" x14ac:dyDescent="0.25">
      <c r="A444" s="18" t="s">
        <v>1832</v>
      </c>
      <c r="B444">
        <v>0.1863241081628263</v>
      </c>
      <c r="C444" s="17">
        <f t="shared" si="6"/>
        <v>45108</v>
      </c>
      <c r="D444" s="17"/>
      <c r="J444" s="2" t="s">
        <v>342</v>
      </c>
    </row>
    <row r="445" spans="1:10" x14ac:dyDescent="0.25">
      <c r="A445" s="18" t="s">
        <v>492</v>
      </c>
      <c r="B445">
        <v>0.18701354759336686</v>
      </c>
      <c r="C445" s="17">
        <f t="shared" si="6"/>
        <v>45109</v>
      </c>
      <c r="D445" s="17"/>
      <c r="J445" s="2" t="s">
        <v>423</v>
      </c>
    </row>
    <row r="446" spans="1:10" x14ac:dyDescent="0.25">
      <c r="A446" s="18" t="s">
        <v>965</v>
      </c>
      <c r="B446">
        <v>0.18708028103232688</v>
      </c>
      <c r="C446" s="17">
        <f t="shared" si="6"/>
        <v>45110</v>
      </c>
      <c r="D446" s="17"/>
      <c r="J446" s="2" t="s">
        <v>805</v>
      </c>
    </row>
    <row r="447" spans="1:10" x14ac:dyDescent="0.25">
      <c r="A447" s="18" t="s">
        <v>1127</v>
      </c>
      <c r="B447">
        <v>0.18709714073966</v>
      </c>
      <c r="C447" s="17">
        <f t="shared" si="6"/>
        <v>45111</v>
      </c>
      <c r="D447" s="17"/>
      <c r="J447" s="2" t="s">
        <v>448</v>
      </c>
    </row>
    <row r="448" spans="1:10" x14ac:dyDescent="0.25">
      <c r="A448" s="18" t="s">
        <v>1001</v>
      </c>
      <c r="B448">
        <v>0.18713350716810684</v>
      </c>
      <c r="C448" s="17">
        <f t="shared" si="6"/>
        <v>45112</v>
      </c>
      <c r="D448" s="17"/>
      <c r="J448" s="2" t="s">
        <v>806</v>
      </c>
    </row>
    <row r="449" spans="1:10" x14ac:dyDescent="0.25">
      <c r="A449" s="18" t="s">
        <v>372</v>
      </c>
      <c r="B449">
        <v>0.18719744552213091</v>
      </c>
      <c r="C449" s="17">
        <f t="shared" si="6"/>
        <v>45113</v>
      </c>
      <c r="D449" s="17"/>
      <c r="J449" s="2" t="s">
        <v>807</v>
      </c>
    </row>
    <row r="450" spans="1:10" x14ac:dyDescent="0.25">
      <c r="A450" s="18" t="s">
        <v>407</v>
      </c>
      <c r="B450">
        <v>0.18725090819773182</v>
      </c>
      <c r="C450" s="17">
        <f t="shared" si="6"/>
        <v>45114</v>
      </c>
      <c r="D450" s="17"/>
      <c r="J450" s="2" t="s">
        <v>808</v>
      </c>
    </row>
    <row r="451" spans="1:10" x14ac:dyDescent="0.25">
      <c r="A451" s="18" t="s">
        <v>991</v>
      </c>
      <c r="B451">
        <v>0.18737624725445745</v>
      </c>
      <c r="C451" s="17">
        <f t="shared" si="6"/>
        <v>45115</v>
      </c>
      <c r="D451" s="17"/>
      <c r="J451" s="2" t="s">
        <v>809</v>
      </c>
    </row>
    <row r="452" spans="1:10" x14ac:dyDescent="0.25">
      <c r="A452" s="18" t="s">
        <v>1276</v>
      </c>
      <c r="B452">
        <v>0.18744548316238507</v>
      </c>
      <c r="C452" s="17">
        <f t="shared" ref="C452:C515" si="7">C451+1</f>
        <v>45116</v>
      </c>
      <c r="D452" s="17"/>
      <c r="J452" s="2" t="s">
        <v>810</v>
      </c>
    </row>
    <row r="453" spans="1:10" x14ac:dyDescent="0.25">
      <c r="A453" s="18" t="s">
        <v>697</v>
      </c>
      <c r="B453">
        <v>0.18805935417479747</v>
      </c>
      <c r="C453" s="17">
        <f t="shared" si="7"/>
        <v>45117</v>
      </c>
      <c r="D453" s="17"/>
      <c r="J453" s="2" t="s">
        <v>811</v>
      </c>
    </row>
    <row r="454" spans="1:10" x14ac:dyDescent="0.25">
      <c r="A454" s="18" t="s">
        <v>2254</v>
      </c>
      <c r="B454">
        <v>0.18929514625961319</v>
      </c>
      <c r="C454" s="17">
        <f t="shared" si="7"/>
        <v>45118</v>
      </c>
      <c r="D454" s="17"/>
      <c r="J454" s="2" t="s">
        <v>812</v>
      </c>
    </row>
    <row r="455" spans="1:10" x14ac:dyDescent="0.25">
      <c r="A455" s="18" t="s">
        <v>2069</v>
      </c>
      <c r="B455">
        <v>0.18952805267764927</v>
      </c>
      <c r="C455" s="17">
        <f t="shared" si="7"/>
        <v>45119</v>
      </c>
      <c r="D455" s="17"/>
      <c r="J455" s="2" t="s">
        <v>813</v>
      </c>
    </row>
    <row r="456" spans="1:10" x14ac:dyDescent="0.25">
      <c r="A456" s="18" t="s">
        <v>2310</v>
      </c>
      <c r="B456">
        <v>0.18973951486663287</v>
      </c>
      <c r="C456" s="17">
        <f t="shared" si="7"/>
        <v>45120</v>
      </c>
      <c r="D456" s="17"/>
      <c r="J456" s="2" t="s">
        <v>814</v>
      </c>
    </row>
    <row r="457" spans="1:10" x14ac:dyDescent="0.25">
      <c r="A457" s="18" t="s">
        <v>2180</v>
      </c>
      <c r="B457">
        <v>0.18986837270809154</v>
      </c>
      <c r="C457" s="17">
        <f t="shared" si="7"/>
        <v>45121</v>
      </c>
      <c r="D457" s="17"/>
      <c r="J457" s="2" t="s">
        <v>76</v>
      </c>
    </row>
    <row r="458" spans="1:10" x14ac:dyDescent="0.25">
      <c r="A458" s="18" t="s">
        <v>1531</v>
      </c>
      <c r="B458">
        <v>0.19065637487065645</v>
      </c>
      <c r="C458" s="17">
        <f t="shared" si="7"/>
        <v>45122</v>
      </c>
      <c r="D458" s="17"/>
      <c r="J458" s="2" t="s">
        <v>815</v>
      </c>
    </row>
    <row r="459" spans="1:10" x14ac:dyDescent="0.25">
      <c r="A459" s="18" t="s">
        <v>433</v>
      </c>
      <c r="B459">
        <v>0.19136913575850123</v>
      </c>
      <c r="C459" s="17">
        <f t="shared" si="7"/>
        <v>45123</v>
      </c>
      <c r="D459" s="17"/>
      <c r="J459" s="2" t="s">
        <v>816</v>
      </c>
    </row>
    <row r="460" spans="1:10" x14ac:dyDescent="0.25">
      <c r="A460" s="18" t="s">
        <v>1274</v>
      </c>
      <c r="B460">
        <v>0.19164286626633087</v>
      </c>
      <c r="C460" s="17">
        <f t="shared" si="7"/>
        <v>45124</v>
      </c>
      <c r="D460" s="17"/>
      <c r="J460" s="2" t="s">
        <v>817</v>
      </c>
    </row>
    <row r="461" spans="1:10" x14ac:dyDescent="0.25">
      <c r="A461" s="18" t="s">
        <v>487</v>
      </c>
      <c r="B461">
        <v>0.19197873134513876</v>
      </c>
      <c r="C461" s="17">
        <f t="shared" si="7"/>
        <v>45125</v>
      </c>
      <c r="D461" s="17"/>
      <c r="J461" s="2" t="s">
        <v>818</v>
      </c>
    </row>
    <row r="462" spans="1:10" x14ac:dyDescent="0.25">
      <c r="A462" s="18" t="s">
        <v>995</v>
      </c>
      <c r="B462">
        <v>0.19257182718048493</v>
      </c>
      <c r="C462" s="17">
        <f t="shared" si="7"/>
        <v>45126</v>
      </c>
      <c r="D462" s="17"/>
      <c r="J462" s="2" t="s">
        <v>819</v>
      </c>
    </row>
    <row r="463" spans="1:10" x14ac:dyDescent="0.25">
      <c r="A463" s="18" t="s">
        <v>1806</v>
      </c>
      <c r="B463">
        <v>0.19269649999154148</v>
      </c>
      <c r="C463" s="17">
        <f t="shared" si="7"/>
        <v>45127</v>
      </c>
      <c r="D463" s="17"/>
      <c r="J463" s="2" t="s">
        <v>820</v>
      </c>
    </row>
    <row r="464" spans="1:10" x14ac:dyDescent="0.25">
      <c r="A464" s="18" t="s">
        <v>2156</v>
      </c>
      <c r="B464">
        <v>0.19288501213116516</v>
      </c>
      <c r="C464" s="17">
        <f t="shared" si="7"/>
        <v>45128</v>
      </c>
      <c r="D464" s="17"/>
      <c r="J464" s="2" t="s">
        <v>821</v>
      </c>
    </row>
    <row r="465" spans="1:10" x14ac:dyDescent="0.25">
      <c r="A465" s="18" t="s">
        <v>375</v>
      </c>
      <c r="B465">
        <v>0.19292211212322907</v>
      </c>
      <c r="C465" s="17">
        <f t="shared" si="7"/>
        <v>45129</v>
      </c>
      <c r="D465" s="17"/>
      <c r="J465" s="2" t="s">
        <v>822</v>
      </c>
    </row>
    <row r="466" spans="1:10" x14ac:dyDescent="0.25">
      <c r="A466" s="18" t="s">
        <v>134</v>
      </c>
      <c r="B466">
        <v>0.19339075099053304</v>
      </c>
      <c r="C466" s="17">
        <f t="shared" si="7"/>
        <v>45130</v>
      </c>
      <c r="D466" s="17"/>
      <c r="J466" s="2" t="s">
        <v>823</v>
      </c>
    </row>
    <row r="467" spans="1:10" x14ac:dyDescent="0.25">
      <c r="A467" s="18" t="s">
        <v>622</v>
      </c>
      <c r="B467">
        <v>0.19412635474868922</v>
      </c>
      <c r="C467" s="17">
        <f t="shared" si="7"/>
        <v>45131</v>
      </c>
      <c r="D467" s="17"/>
      <c r="J467" s="2" t="s">
        <v>80</v>
      </c>
    </row>
    <row r="468" spans="1:10" x14ac:dyDescent="0.25">
      <c r="A468" s="18" t="s">
        <v>37</v>
      </c>
      <c r="B468">
        <v>0.19508724212566297</v>
      </c>
      <c r="C468" s="17">
        <f t="shared" si="7"/>
        <v>45132</v>
      </c>
      <c r="D468" s="17"/>
      <c r="J468" s="2" t="s">
        <v>399</v>
      </c>
    </row>
    <row r="469" spans="1:10" x14ac:dyDescent="0.25">
      <c r="A469" s="18" t="s">
        <v>285</v>
      </c>
      <c r="B469">
        <v>0.19521321428735439</v>
      </c>
      <c r="C469" s="17">
        <f t="shared" si="7"/>
        <v>45133</v>
      </c>
      <c r="D469" s="17"/>
      <c r="J469" s="2" t="s">
        <v>824</v>
      </c>
    </row>
    <row r="470" spans="1:10" x14ac:dyDescent="0.25">
      <c r="A470" s="18" t="s">
        <v>2210</v>
      </c>
      <c r="B470">
        <v>0.19531933036499183</v>
      </c>
      <c r="C470" s="17">
        <f t="shared" si="7"/>
        <v>45134</v>
      </c>
      <c r="D470" s="17"/>
      <c r="J470" s="2" t="s">
        <v>825</v>
      </c>
    </row>
    <row r="471" spans="1:10" x14ac:dyDescent="0.25">
      <c r="A471" s="18" t="s">
        <v>1729</v>
      </c>
      <c r="B471">
        <v>0.19543892676808439</v>
      </c>
      <c r="C471" s="17">
        <f t="shared" si="7"/>
        <v>45135</v>
      </c>
      <c r="D471" s="17"/>
      <c r="J471" s="2" t="s">
        <v>826</v>
      </c>
    </row>
    <row r="472" spans="1:10" x14ac:dyDescent="0.25">
      <c r="A472" s="18" t="s">
        <v>55</v>
      </c>
      <c r="B472">
        <v>0.19560058222917809</v>
      </c>
      <c r="C472" s="17">
        <f t="shared" si="7"/>
        <v>45136</v>
      </c>
      <c r="D472" s="17"/>
      <c r="J472" s="2" t="s">
        <v>827</v>
      </c>
    </row>
    <row r="473" spans="1:10" x14ac:dyDescent="0.25">
      <c r="A473" s="18" t="s">
        <v>538</v>
      </c>
      <c r="B473">
        <v>0.19585614765841364</v>
      </c>
      <c r="C473" s="17">
        <f t="shared" si="7"/>
        <v>45137</v>
      </c>
      <c r="D473" s="17"/>
      <c r="J473" s="2" t="s">
        <v>828</v>
      </c>
    </row>
    <row r="474" spans="1:10" x14ac:dyDescent="0.25">
      <c r="A474" s="18" t="s">
        <v>688</v>
      </c>
      <c r="B474">
        <v>0.19602944907181352</v>
      </c>
      <c r="C474" s="17">
        <f t="shared" si="7"/>
        <v>45138</v>
      </c>
      <c r="D474" s="17"/>
      <c r="J474" s="2" t="s">
        <v>829</v>
      </c>
    </row>
    <row r="475" spans="1:10" x14ac:dyDescent="0.25">
      <c r="A475" s="18" t="s">
        <v>1746</v>
      </c>
      <c r="B475">
        <v>0.19638206416273685</v>
      </c>
      <c r="C475" s="17">
        <f t="shared" si="7"/>
        <v>45139</v>
      </c>
      <c r="D475" s="17"/>
      <c r="J475" s="2" t="s">
        <v>110</v>
      </c>
    </row>
    <row r="476" spans="1:10" x14ac:dyDescent="0.25">
      <c r="A476" s="18" t="s">
        <v>1116</v>
      </c>
      <c r="B476">
        <v>0.19666328018218826</v>
      </c>
      <c r="C476" s="17">
        <f t="shared" si="7"/>
        <v>45140</v>
      </c>
      <c r="D476" s="17"/>
      <c r="J476" s="2" t="s">
        <v>830</v>
      </c>
    </row>
    <row r="477" spans="1:10" x14ac:dyDescent="0.25">
      <c r="A477" s="18" t="s">
        <v>2263</v>
      </c>
      <c r="B477">
        <v>0.19671715277343915</v>
      </c>
      <c r="C477" s="17">
        <f t="shared" si="7"/>
        <v>45141</v>
      </c>
      <c r="D477" s="17"/>
      <c r="J477" s="2" t="s">
        <v>831</v>
      </c>
    </row>
    <row r="478" spans="1:10" x14ac:dyDescent="0.25">
      <c r="A478" s="18" t="s">
        <v>944</v>
      </c>
      <c r="B478">
        <v>0.19695071831801636</v>
      </c>
      <c r="C478" s="17">
        <f t="shared" si="7"/>
        <v>45142</v>
      </c>
      <c r="D478" s="17"/>
      <c r="J478" s="2" t="s">
        <v>377</v>
      </c>
    </row>
    <row r="479" spans="1:10" x14ac:dyDescent="0.25">
      <c r="A479" s="18" t="s">
        <v>33</v>
      </c>
      <c r="B479">
        <v>0.19731430643722192</v>
      </c>
      <c r="C479" s="17">
        <f t="shared" si="7"/>
        <v>45143</v>
      </c>
      <c r="D479" s="17"/>
      <c r="J479" s="2" t="s">
        <v>832</v>
      </c>
    </row>
    <row r="480" spans="1:10" x14ac:dyDescent="0.25">
      <c r="A480" s="18" t="s">
        <v>199</v>
      </c>
      <c r="B480">
        <v>0.19736700692678022</v>
      </c>
      <c r="C480" s="17">
        <f t="shared" si="7"/>
        <v>45144</v>
      </c>
      <c r="D480" s="17"/>
      <c r="J480" s="2" t="s">
        <v>833</v>
      </c>
    </row>
    <row r="481" spans="1:10" x14ac:dyDescent="0.25">
      <c r="A481" s="18" t="s">
        <v>432</v>
      </c>
      <c r="B481">
        <v>0.19765140368303846</v>
      </c>
      <c r="C481" s="17">
        <f t="shared" si="7"/>
        <v>45145</v>
      </c>
      <c r="D481" s="17"/>
      <c r="J481" s="2" t="s">
        <v>834</v>
      </c>
    </row>
    <row r="482" spans="1:10" x14ac:dyDescent="0.25">
      <c r="A482" s="18" t="s">
        <v>1980</v>
      </c>
      <c r="B482">
        <v>0.19779219420748306</v>
      </c>
      <c r="C482" s="17">
        <f t="shared" si="7"/>
        <v>45146</v>
      </c>
      <c r="D482" s="17"/>
      <c r="J482" s="2" t="s">
        <v>835</v>
      </c>
    </row>
    <row r="483" spans="1:10" x14ac:dyDescent="0.25">
      <c r="A483" s="18" t="s">
        <v>683</v>
      </c>
      <c r="B483">
        <v>0.19844804366241453</v>
      </c>
      <c r="C483" s="17">
        <f t="shared" si="7"/>
        <v>45147</v>
      </c>
      <c r="D483" s="17"/>
      <c r="J483" s="2" t="s">
        <v>836</v>
      </c>
    </row>
    <row r="484" spans="1:10" x14ac:dyDescent="0.25">
      <c r="A484" s="18" t="s">
        <v>1399</v>
      </c>
      <c r="B484">
        <v>0.19867145143961129</v>
      </c>
      <c r="C484" s="17">
        <f t="shared" si="7"/>
        <v>45148</v>
      </c>
      <c r="D484" s="17"/>
      <c r="J484" s="2" t="s">
        <v>837</v>
      </c>
    </row>
    <row r="485" spans="1:10" x14ac:dyDescent="0.25">
      <c r="A485" s="18" t="s">
        <v>1128</v>
      </c>
      <c r="B485">
        <v>0.19877380428219793</v>
      </c>
      <c r="C485" s="17">
        <f t="shared" si="7"/>
        <v>45149</v>
      </c>
      <c r="D485" s="17"/>
      <c r="J485" s="2" t="s">
        <v>838</v>
      </c>
    </row>
    <row r="486" spans="1:10" x14ac:dyDescent="0.25">
      <c r="A486" s="18" t="s">
        <v>1267</v>
      </c>
      <c r="B486">
        <v>0.19904818178025097</v>
      </c>
      <c r="C486" s="17">
        <f t="shared" si="7"/>
        <v>45150</v>
      </c>
      <c r="D486" s="17"/>
      <c r="J486" s="2" t="s">
        <v>839</v>
      </c>
    </row>
    <row r="487" spans="1:10" x14ac:dyDescent="0.25">
      <c r="A487" s="18" t="s">
        <v>1770</v>
      </c>
      <c r="B487">
        <v>0.19970711887288184</v>
      </c>
      <c r="C487" s="17">
        <f t="shared" si="7"/>
        <v>45151</v>
      </c>
      <c r="D487" s="17"/>
      <c r="J487" s="2" t="s">
        <v>5</v>
      </c>
    </row>
    <row r="488" spans="1:10" x14ac:dyDescent="0.25">
      <c r="A488" s="18" t="s">
        <v>2309</v>
      </c>
      <c r="B488">
        <v>0.2004484955985818</v>
      </c>
      <c r="C488" s="17">
        <f t="shared" si="7"/>
        <v>45152</v>
      </c>
      <c r="D488" s="17"/>
      <c r="J488" s="2" t="s">
        <v>840</v>
      </c>
    </row>
    <row r="489" spans="1:10" x14ac:dyDescent="0.25">
      <c r="A489" s="18" t="s">
        <v>1164</v>
      </c>
      <c r="B489">
        <v>0.20080499080096459</v>
      </c>
      <c r="C489" s="17">
        <f t="shared" si="7"/>
        <v>45153</v>
      </c>
      <c r="D489" s="17"/>
      <c r="J489" s="2" t="s">
        <v>841</v>
      </c>
    </row>
    <row r="490" spans="1:10" x14ac:dyDescent="0.25">
      <c r="A490" s="18" t="s">
        <v>1220</v>
      </c>
      <c r="B490">
        <v>0.2008274917726437</v>
      </c>
      <c r="C490" s="17">
        <f t="shared" si="7"/>
        <v>45154</v>
      </c>
      <c r="D490" s="17"/>
      <c r="J490" s="2" t="s">
        <v>842</v>
      </c>
    </row>
    <row r="491" spans="1:10" x14ac:dyDescent="0.25">
      <c r="A491" s="18" t="s">
        <v>1316</v>
      </c>
      <c r="B491">
        <v>0.20128873709335937</v>
      </c>
      <c r="C491" s="17">
        <f t="shared" si="7"/>
        <v>45155</v>
      </c>
      <c r="D491" s="17"/>
      <c r="J491" s="2" t="s">
        <v>843</v>
      </c>
    </row>
    <row r="492" spans="1:10" x14ac:dyDescent="0.25">
      <c r="A492" s="18" t="s">
        <v>1401</v>
      </c>
      <c r="B492">
        <v>0.20160164621041854</v>
      </c>
      <c r="C492" s="17">
        <f t="shared" si="7"/>
        <v>45156</v>
      </c>
      <c r="D492" s="17"/>
      <c r="J492" s="2" t="s">
        <v>844</v>
      </c>
    </row>
    <row r="493" spans="1:10" x14ac:dyDescent="0.25">
      <c r="A493" s="18" t="s">
        <v>146</v>
      </c>
      <c r="B493">
        <v>0.20169607676455725</v>
      </c>
      <c r="C493" s="17">
        <f t="shared" si="7"/>
        <v>45157</v>
      </c>
      <c r="D493" s="17"/>
      <c r="J493" s="2" t="s">
        <v>212</v>
      </c>
    </row>
    <row r="494" spans="1:10" x14ac:dyDescent="0.25">
      <c r="A494" s="18" t="s">
        <v>131</v>
      </c>
      <c r="B494">
        <v>0.20225374016836695</v>
      </c>
      <c r="C494" s="17">
        <f t="shared" si="7"/>
        <v>45158</v>
      </c>
      <c r="D494" s="17"/>
      <c r="J494" s="2" t="s">
        <v>845</v>
      </c>
    </row>
    <row r="495" spans="1:10" x14ac:dyDescent="0.25">
      <c r="A495" s="18" t="s">
        <v>2196</v>
      </c>
      <c r="B495">
        <v>0.2023044489609831</v>
      </c>
      <c r="C495" s="17">
        <f t="shared" si="7"/>
        <v>45159</v>
      </c>
      <c r="D495" s="17"/>
      <c r="J495" s="2" t="s">
        <v>846</v>
      </c>
    </row>
    <row r="496" spans="1:10" x14ac:dyDescent="0.25">
      <c r="A496" s="18" t="s">
        <v>139</v>
      </c>
      <c r="B496">
        <v>0.20242930769257561</v>
      </c>
      <c r="C496" s="17">
        <f t="shared" si="7"/>
        <v>45160</v>
      </c>
      <c r="D496" s="17"/>
      <c r="J496" s="2" t="s">
        <v>847</v>
      </c>
    </row>
    <row r="497" spans="1:10" x14ac:dyDescent="0.25">
      <c r="A497" s="18" t="s">
        <v>1186</v>
      </c>
      <c r="B497">
        <v>0.20285922588982463</v>
      </c>
      <c r="C497" s="17">
        <f t="shared" si="7"/>
        <v>45161</v>
      </c>
      <c r="D497" s="17"/>
      <c r="J497" s="2" t="s">
        <v>848</v>
      </c>
    </row>
    <row r="498" spans="1:10" x14ac:dyDescent="0.25">
      <c r="A498" s="18" t="s">
        <v>1191</v>
      </c>
      <c r="B498">
        <v>0.20326335032302989</v>
      </c>
      <c r="C498" s="17">
        <f t="shared" si="7"/>
        <v>45162</v>
      </c>
      <c r="D498" s="17"/>
      <c r="J498" s="2" t="s">
        <v>849</v>
      </c>
    </row>
    <row r="499" spans="1:10" x14ac:dyDescent="0.25">
      <c r="A499" s="18" t="s">
        <v>808</v>
      </c>
      <c r="B499">
        <v>0.20434860894677409</v>
      </c>
      <c r="C499" s="17">
        <f t="shared" si="7"/>
        <v>45163</v>
      </c>
      <c r="D499" s="17"/>
      <c r="J499" s="2" t="s">
        <v>850</v>
      </c>
    </row>
    <row r="500" spans="1:10" x14ac:dyDescent="0.25">
      <c r="A500" s="18" t="s">
        <v>838</v>
      </c>
      <c r="B500">
        <v>0.20440046984229643</v>
      </c>
      <c r="C500" s="17">
        <f t="shared" si="7"/>
        <v>45164</v>
      </c>
      <c r="D500" s="17"/>
      <c r="J500" s="2" t="s">
        <v>851</v>
      </c>
    </row>
    <row r="501" spans="1:10" x14ac:dyDescent="0.25">
      <c r="A501" s="18" t="s">
        <v>1051</v>
      </c>
      <c r="B501">
        <v>0.20442111517160544</v>
      </c>
      <c r="C501" s="17">
        <f t="shared" si="7"/>
        <v>45165</v>
      </c>
      <c r="D501" s="17"/>
      <c r="J501" s="2" t="s">
        <v>852</v>
      </c>
    </row>
    <row r="502" spans="1:10" x14ac:dyDescent="0.25">
      <c r="A502" s="18" t="s">
        <v>724</v>
      </c>
      <c r="B502">
        <v>0.20459443716843961</v>
      </c>
      <c r="C502" s="17">
        <f t="shared" si="7"/>
        <v>45166</v>
      </c>
      <c r="D502" s="17"/>
      <c r="J502" s="2" t="s">
        <v>126</v>
      </c>
    </row>
    <row r="503" spans="1:10" x14ac:dyDescent="0.25">
      <c r="A503" s="18" t="s">
        <v>381</v>
      </c>
      <c r="B503">
        <v>0.20464733294257276</v>
      </c>
      <c r="C503" s="17">
        <f t="shared" si="7"/>
        <v>45167</v>
      </c>
      <c r="D503" s="17"/>
      <c r="J503" s="2" t="s">
        <v>853</v>
      </c>
    </row>
    <row r="504" spans="1:10" x14ac:dyDescent="0.25">
      <c r="A504" s="18" t="s">
        <v>894</v>
      </c>
      <c r="B504">
        <v>0.20482088178203683</v>
      </c>
      <c r="C504" s="17">
        <f t="shared" si="7"/>
        <v>45168</v>
      </c>
      <c r="D504" s="17"/>
      <c r="J504" s="2" t="s">
        <v>854</v>
      </c>
    </row>
    <row r="505" spans="1:10" x14ac:dyDescent="0.25">
      <c r="A505" s="18" t="s">
        <v>1780</v>
      </c>
      <c r="B505">
        <v>0.20483883482362331</v>
      </c>
      <c r="C505" s="17">
        <f t="shared" si="7"/>
        <v>45169</v>
      </c>
      <c r="D505" s="17"/>
      <c r="J505" s="2" t="s">
        <v>129</v>
      </c>
    </row>
    <row r="506" spans="1:10" x14ac:dyDescent="0.25">
      <c r="A506" s="18" t="s">
        <v>1950</v>
      </c>
      <c r="B506">
        <v>0.20527131565048218</v>
      </c>
      <c r="C506" s="17">
        <f t="shared" si="7"/>
        <v>45170</v>
      </c>
      <c r="D506" s="17"/>
      <c r="J506" s="2" t="s">
        <v>855</v>
      </c>
    </row>
    <row r="507" spans="1:10" x14ac:dyDescent="0.25">
      <c r="A507" s="18" t="s">
        <v>1630</v>
      </c>
      <c r="B507">
        <v>0.20555907233563242</v>
      </c>
      <c r="C507" s="17">
        <f t="shared" si="7"/>
        <v>45171</v>
      </c>
      <c r="D507" s="17"/>
      <c r="J507" s="2" t="s">
        <v>152</v>
      </c>
    </row>
    <row r="508" spans="1:10" x14ac:dyDescent="0.25">
      <c r="A508" s="18" t="s">
        <v>721</v>
      </c>
      <c r="B508">
        <v>0.20606044647567756</v>
      </c>
      <c r="C508" s="17">
        <f t="shared" si="7"/>
        <v>45172</v>
      </c>
      <c r="D508" s="17"/>
      <c r="J508" s="2" t="s">
        <v>66</v>
      </c>
    </row>
    <row r="509" spans="1:10" x14ac:dyDescent="0.25">
      <c r="A509" s="18" t="s">
        <v>1112</v>
      </c>
      <c r="B509">
        <v>0.20636364399566043</v>
      </c>
      <c r="C509" s="17">
        <f t="shared" si="7"/>
        <v>45173</v>
      </c>
      <c r="D509" s="17"/>
      <c r="J509" s="2" t="s">
        <v>856</v>
      </c>
    </row>
    <row r="510" spans="1:10" x14ac:dyDescent="0.25">
      <c r="A510" s="18" t="s">
        <v>1436</v>
      </c>
      <c r="B510">
        <v>0.20672992837259685</v>
      </c>
      <c r="C510" s="17">
        <f t="shared" si="7"/>
        <v>45174</v>
      </c>
      <c r="D510" s="17"/>
      <c r="J510" s="2" t="s">
        <v>857</v>
      </c>
    </row>
    <row r="511" spans="1:10" x14ac:dyDescent="0.25">
      <c r="A511" s="18" t="s">
        <v>590</v>
      </c>
      <c r="B511">
        <v>0.20756553837102687</v>
      </c>
      <c r="C511" s="17">
        <f t="shared" si="7"/>
        <v>45175</v>
      </c>
      <c r="D511" s="17"/>
      <c r="J511" s="2" t="s">
        <v>135</v>
      </c>
    </row>
    <row r="512" spans="1:10" x14ac:dyDescent="0.25">
      <c r="A512" s="18" t="s">
        <v>1230</v>
      </c>
      <c r="B512">
        <v>0.20878594209746082</v>
      </c>
      <c r="C512" s="17">
        <f t="shared" si="7"/>
        <v>45176</v>
      </c>
      <c r="D512" s="17"/>
      <c r="J512" s="2" t="s">
        <v>858</v>
      </c>
    </row>
    <row r="513" spans="1:10" x14ac:dyDescent="0.25">
      <c r="A513" s="18" t="s">
        <v>2195</v>
      </c>
      <c r="B513">
        <v>0.20938354849347141</v>
      </c>
      <c r="C513" s="17">
        <f t="shared" si="7"/>
        <v>45177</v>
      </c>
      <c r="D513" s="17"/>
      <c r="J513" s="2" t="s">
        <v>859</v>
      </c>
    </row>
    <row r="514" spans="1:10" x14ac:dyDescent="0.25">
      <c r="A514" s="18" t="s">
        <v>1713</v>
      </c>
      <c r="B514">
        <v>0.20995146917824725</v>
      </c>
      <c r="C514" s="17">
        <f t="shared" si="7"/>
        <v>45178</v>
      </c>
      <c r="D514" s="17"/>
      <c r="J514" s="2" t="s">
        <v>860</v>
      </c>
    </row>
    <row r="515" spans="1:10" x14ac:dyDescent="0.25">
      <c r="A515" s="18" t="s">
        <v>1705</v>
      </c>
      <c r="B515">
        <v>0.21093045899449259</v>
      </c>
      <c r="C515" s="17">
        <f t="shared" si="7"/>
        <v>45179</v>
      </c>
      <c r="D515" s="17"/>
      <c r="J515" s="2" t="s">
        <v>861</v>
      </c>
    </row>
    <row r="516" spans="1:10" x14ac:dyDescent="0.25">
      <c r="A516" s="18" t="s">
        <v>1078</v>
      </c>
      <c r="B516">
        <v>0.21109786828487442</v>
      </c>
      <c r="C516" s="17">
        <f t="shared" ref="C516:C579" si="8">C515+1</f>
        <v>45180</v>
      </c>
      <c r="D516" s="17"/>
      <c r="J516" s="2" t="s">
        <v>862</v>
      </c>
    </row>
    <row r="517" spans="1:10" x14ac:dyDescent="0.25">
      <c r="A517" s="18" t="s">
        <v>1479</v>
      </c>
      <c r="B517">
        <v>0.21201326382169405</v>
      </c>
      <c r="C517" s="17">
        <f t="shared" si="8"/>
        <v>45181</v>
      </c>
      <c r="D517" s="17"/>
      <c r="J517" s="2" t="s">
        <v>138</v>
      </c>
    </row>
    <row r="518" spans="1:10" x14ac:dyDescent="0.25">
      <c r="A518" s="18" t="s">
        <v>94</v>
      </c>
      <c r="B518">
        <v>0.21274879581169992</v>
      </c>
      <c r="C518" s="17">
        <f t="shared" si="8"/>
        <v>45182</v>
      </c>
      <c r="D518" s="17"/>
      <c r="J518" s="2" t="s">
        <v>863</v>
      </c>
    </row>
    <row r="519" spans="1:10" x14ac:dyDescent="0.25">
      <c r="A519" s="18" t="s">
        <v>18</v>
      </c>
      <c r="B519">
        <v>0.21316809527567437</v>
      </c>
      <c r="C519" s="17">
        <f t="shared" si="8"/>
        <v>45183</v>
      </c>
      <c r="D519" s="17"/>
      <c r="J519" s="2" t="s">
        <v>864</v>
      </c>
    </row>
    <row r="520" spans="1:10" x14ac:dyDescent="0.25">
      <c r="A520" s="18" t="s">
        <v>1074</v>
      </c>
      <c r="B520">
        <v>0.21326666994993249</v>
      </c>
      <c r="C520" s="17">
        <f t="shared" si="8"/>
        <v>45184</v>
      </c>
      <c r="D520" s="17"/>
      <c r="J520" s="2" t="s">
        <v>65</v>
      </c>
    </row>
    <row r="521" spans="1:10" x14ac:dyDescent="0.25">
      <c r="A521" s="18" t="s">
        <v>472</v>
      </c>
      <c r="B521">
        <v>0.21336244941132165</v>
      </c>
      <c r="C521" s="17">
        <f t="shared" si="8"/>
        <v>45185</v>
      </c>
      <c r="D521" s="17"/>
      <c r="J521" s="2" t="s">
        <v>865</v>
      </c>
    </row>
    <row r="522" spans="1:10" x14ac:dyDescent="0.25">
      <c r="A522" s="18" t="s">
        <v>1255</v>
      </c>
      <c r="B522">
        <v>0.21366966683284305</v>
      </c>
      <c r="C522" s="17">
        <f t="shared" si="8"/>
        <v>45186</v>
      </c>
      <c r="D522" s="17"/>
      <c r="J522" s="2" t="s">
        <v>866</v>
      </c>
    </row>
    <row r="523" spans="1:10" x14ac:dyDescent="0.25">
      <c r="A523" s="18" t="s">
        <v>996</v>
      </c>
      <c r="B523">
        <v>0.21508283031642039</v>
      </c>
      <c r="C523" s="17">
        <f t="shared" si="8"/>
        <v>45187</v>
      </c>
      <c r="D523" s="17"/>
      <c r="J523" s="2" t="s">
        <v>867</v>
      </c>
    </row>
    <row r="524" spans="1:10" x14ac:dyDescent="0.25">
      <c r="A524" s="18" t="s">
        <v>1409</v>
      </c>
      <c r="B524">
        <v>0.21558053135051614</v>
      </c>
      <c r="C524" s="17">
        <f t="shared" si="8"/>
        <v>45188</v>
      </c>
      <c r="D524" s="17"/>
      <c r="J524" s="2" t="s">
        <v>868</v>
      </c>
    </row>
    <row r="525" spans="1:10" x14ac:dyDescent="0.25">
      <c r="A525" s="18" t="s">
        <v>2305</v>
      </c>
      <c r="B525">
        <v>0.21585977826409941</v>
      </c>
      <c r="C525" s="17">
        <f t="shared" si="8"/>
        <v>45189</v>
      </c>
      <c r="D525" s="17"/>
      <c r="J525" s="2" t="s">
        <v>869</v>
      </c>
    </row>
    <row r="526" spans="1:10" x14ac:dyDescent="0.25">
      <c r="A526" s="18" t="s">
        <v>763</v>
      </c>
      <c r="B526">
        <v>0.2171293346508083</v>
      </c>
      <c r="C526" s="17">
        <f t="shared" si="8"/>
        <v>45190</v>
      </c>
      <c r="D526" s="17"/>
      <c r="J526" s="2" t="s">
        <v>870</v>
      </c>
    </row>
    <row r="527" spans="1:10" x14ac:dyDescent="0.25">
      <c r="A527" s="18" t="s">
        <v>468</v>
      </c>
      <c r="B527">
        <v>0.21721021973861954</v>
      </c>
      <c r="C527" s="17">
        <f t="shared" si="8"/>
        <v>45191</v>
      </c>
      <c r="D527" s="17"/>
      <c r="J527" s="2" t="s">
        <v>871</v>
      </c>
    </row>
    <row r="528" spans="1:10" x14ac:dyDescent="0.25">
      <c r="A528" s="18" t="s">
        <v>629</v>
      </c>
      <c r="B528">
        <v>0.21747486414206674</v>
      </c>
      <c r="C528" s="17">
        <f t="shared" si="8"/>
        <v>45192</v>
      </c>
      <c r="D528" s="17"/>
      <c r="J528" s="2" t="s">
        <v>271</v>
      </c>
    </row>
    <row r="529" spans="1:10" x14ac:dyDescent="0.25">
      <c r="A529" s="18" t="s">
        <v>1900</v>
      </c>
      <c r="B529">
        <v>0.21776276820550156</v>
      </c>
      <c r="C529" s="17">
        <f t="shared" si="8"/>
        <v>45193</v>
      </c>
      <c r="D529" s="17"/>
      <c r="J529" s="2" t="s">
        <v>114</v>
      </c>
    </row>
    <row r="530" spans="1:10" x14ac:dyDescent="0.25">
      <c r="A530" s="18" t="s">
        <v>1710</v>
      </c>
      <c r="B530">
        <v>0.21781293383483913</v>
      </c>
      <c r="C530" s="17">
        <f t="shared" si="8"/>
        <v>45194</v>
      </c>
      <c r="D530" s="17"/>
      <c r="J530" s="2" t="s">
        <v>872</v>
      </c>
    </row>
    <row r="531" spans="1:10" x14ac:dyDescent="0.25">
      <c r="A531" s="18" t="s">
        <v>2048</v>
      </c>
      <c r="B531">
        <v>0.217916554815621</v>
      </c>
      <c r="C531" s="17">
        <f t="shared" si="8"/>
        <v>45195</v>
      </c>
      <c r="D531" s="17"/>
      <c r="J531" s="2" t="s">
        <v>873</v>
      </c>
    </row>
    <row r="532" spans="1:10" x14ac:dyDescent="0.25">
      <c r="A532" s="18" t="s">
        <v>741</v>
      </c>
      <c r="B532">
        <v>0.21806044066177444</v>
      </c>
      <c r="C532" s="17">
        <f t="shared" si="8"/>
        <v>45196</v>
      </c>
      <c r="D532" s="17"/>
      <c r="J532" s="2" t="s">
        <v>874</v>
      </c>
    </row>
    <row r="533" spans="1:10" x14ac:dyDescent="0.25">
      <c r="A533" s="18" t="s">
        <v>81</v>
      </c>
      <c r="B533">
        <v>0.21824989815879858</v>
      </c>
      <c r="C533" s="17">
        <f t="shared" si="8"/>
        <v>45197</v>
      </c>
      <c r="D533" s="17"/>
      <c r="J533" s="2" t="s">
        <v>875</v>
      </c>
    </row>
    <row r="534" spans="1:10" x14ac:dyDescent="0.25">
      <c r="A534" s="18" t="s">
        <v>748</v>
      </c>
      <c r="B534">
        <v>0.21858961545553568</v>
      </c>
      <c r="C534" s="17">
        <f t="shared" si="8"/>
        <v>45198</v>
      </c>
      <c r="D534" s="17"/>
      <c r="J534" s="2" t="s">
        <v>876</v>
      </c>
    </row>
    <row r="535" spans="1:10" x14ac:dyDescent="0.25">
      <c r="A535" s="18" t="s">
        <v>2110</v>
      </c>
      <c r="B535">
        <v>0.21872505585238244</v>
      </c>
      <c r="C535" s="17">
        <f t="shared" si="8"/>
        <v>45199</v>
      </c>
      <c r="D535" s="17"/>
      <c r="J535" s="2" t="s">
        <v>877</v>
      </c>
    </row>
    <row r="536" spans="1:10" x14ac:dyDescent="0.25">
      <c r="A536" s="18" t="s">
        <v>138</v>
      </c>
      <c r="B536">
        <v>0.21873273889740685</v>
      </c>
      <c r="C536" s="17">
        <f t="shared" si="8"/>
        <v>45200</v>
      </c>
      <c r="D536" s="17"/>
      <c r="J536" s="2" t="s">
        <v>878</v>
      </c>
    </row>
    <row r="537" spans="1:10" x14ac:dyDescent="0.25">
      <c r="A537" s="18" t="s">
        <v>1227</v>
      </c>
      <c r="B537">
        <v>0.21891681025441045</v>
      </c>
      <c r="C537" s="17">
        <f t="shared" si="8"/>
        <v>45201</v>
      </c>
      <c r="D537" s="17"/>
      <c r="J537" s="2" t="s">
        <v>400</v>
      </c>
    </row>
    <row r="538" spans="1:10" x14ac:dyDescent="0.25">
      <c r="A538" s="18" t="s">
        <v>707</v>
      </c>
      <c r="B538">
        <v>0.2192816345562788</v>
      </c>
      <c r="C538" s="17">
        <f t="shared" si="8"/>
        <v>45202</v>
      </c>
      <c r="D538" s="17"/>
      <c r="J538" s="2" t="s">
        <v>879</v>
      </c>
    </row>
    <row r="539" spans="1:10" x14ac:dyDescent="0.25">
      <c r="A539" s="18" t="s">
        <v>1140</v>
      </c>
      <c r="B539">
        <v>0.22074341031808276</v>
      </c>
      <c r="C539" s="17">
        <f t="shared" si="8"/>
        <v>45203</v>
      </c>
      <c r="D539" s="17"/>
      <c r="J539" s="2" t="s">
        <v>880</v>
      </c>
    </row>
    <row r="540" spans="1:10" x14ac:dyDescent="0.25">
      <c r="A540" s="18" t="s">
        <v>723</v>
      </c>
      <c r="B540">
        <v>0.22091991041011694</v>
      </c>
      <c r="C540" s="17">
        <f t="shared" si="8"/>
        <v>45204</v>
      </c>
      <c r="D540" s="17"/>
      <c r="J540" s="2" t="s">
        <v>881</v>
      </c>
    </row>
    <row r="541" spans="1:10" x14ac:dyDescent="0.25">
      <c r="A541" s="18" t="s">
        <v>2021</v>
      </c>
      <c r="B541">
        <v>0.22122573628283138</v>
      </c>
      <c r="C541" s="17">
        <f t="shared" si="8"/>
        <v>45205</v>
      </c>
      <c r="D541" s="17"/>
      <c r="J541" s="2" t="s">
        <v>882</v>
      </c>
    </row>
    <row r="542" spans="1:10" x14ac:dyDescent="0.25">
      <c r="A542" s="18" t="s">
        <v>428</v>
      </c>
      <c r="B542">
        <v>0.22157999348477175</v>
      </c>
      <c r="C542" s="17">
        <f t="shared" si="8"/>
        <v>45206</v>
      </c>
      <c r="D542" s="17"/>
      <c r="J542" s="2" t="s">
        <v>883</v>
      </c>
    </row>
    <row r="543" spans="1:10" x14ac:dyDescent="0.25">
      <c r="A543" s="18" t="s">
        <v>885</v>
      </c>
      <c r="B543">
        <v>0.22208704390214062</v>
      </c>
      <c r="C543" s="17">
        <f t="shared" si="8"/>
        <v>45207</v>
      </c>
      <c r="D543" s="17"/>
      <c r="J543" s="2" t="s">
        <v>884</v>
      </c>
    </row>
    <row r="544" spans="1:10" x14ac:dyDescent="0.25">
      <c r="A544" s="18" t="s">
        <v>50</v>
      </c>
      <c r="B544">
        <v>0.22214619308981876</v>
      </c>
      <c r="C544" s="17">
        <f t="shared" si="8"/>
        <v>45208</v>
      </c>
      <c r="D544" s="17"/>
      <c r="J544" s="2" t="s">
        <v>885</v>
      </c>
    </row>
    <row r="545" spans="1:10" x14ac:dyDescent="0.25">
      <c r="A545" s="18" t="s">
        <v>440</v>
      </c>
      <c r="B545">
        <v>0.22279959247274261</v>
      </c>
      <c r="C545" s="17">
        <f t="shared" si="8"/>
        <v>45209</v>
      </c>
      <c r="D545" s="17"/>
      <c r="J545" s="2" t="s">
        <v>886</v>
      </c>
    </row>
    <row r="546" spans="1:10" x14ac:dyDescent="0.25">
      <c r="A546" s="18" t="s">
        <v>1662</v>
      </c>
      <c r="B546">
        <v>0.22335198025265179</v>
      </c>
      <c r="C546" s="17">
        <f t="shared" si="8"/>
        <v>45210</v>
      </c>
      <c r="D546" s="17"/>
      <c r="J546" s="2" t="s">
        <v>887</v>
      </c>
    </row>
    <row r="547" spans="1:10" x14ac:dyDescent="0.25">
      <c r="A547" s="18" t="s">
        <v>163</v>
      </c>
      <c r="B547">
        <v>0.22368702175200894</v>
      </c>
      <c r="C547" s="17">
        <f t="shared" si="8"/>
        <v>45211</v>
      </c>
      <c r="D547" s="17"/>
      <c r="J547" s="2" t="s">
        <v>888</v>
      </c>
    </row>
    <row r="548" spans="1:10" x14ac:dyDescent="0.25">
      <c r="A548" s="18" t="s">
        <v>1518</v>
      </c>
      <c r="B548">
        <v>0.22421345745728649</v>
      </c>
      <c r="C548" s="17">
        <f t="shared" si="8"/>
        <v>45212</v>
      </c>
      <c r="D548" s="17"/>
      <c r="J548" s="2" t="s">
        <v>889</v>
      </c>
    </row>
    <row r="549" spans="1:10" x14ac:dyDescent="0.25">
      <c r="A549" s="18" t="s">
        <v>905</v>
      </c>
      <c r="B549">
        <v>0.22433892631188002</v>
      </c>
      <c r="C549" s="17">
        <f t="shared" si="8"/>
        <v>45213</v>
      </c>
      <c r="D549" s="17"/>
      <c r="J549" s="2" t="s">
        <v>173</v>
      </c>
    </row>
    <row r="550" spans="1:10" x14ac:dyDescent="0.25">
      <c r="A550" s="18" t="s">
        <v>463</v>
      </c>
      <c r="B550">
        <v>0.22463188196393546</v>
      </c>
      <c r="C550" s="17">
        <f t="shared" si="8"/>
        <v>45214</v>
      </c>
      <c r="D550" s="17"/>
      <c r="J550" s="2" t="s">
        <v>890</v>
      </c>
    </row>
    <row r="551" spans="1:10" x14ac:dyDescent="0.25">
      <c r="A551" s="18" t="s">
        <v>1877</v>
      </c>
      <c r="B551">
        <v>0.22588625041437438</v>
      </c>
      <c r="C551" s="17">
        <f t="shared" si="8"/>
        <v>45215</v>
      </c>
      <c r="D551" s="17"/>
      <c r="J551" s="2" t="s">
        <v>337</v>
      </c>
    </row>
    <row r="552" spans="1:10" x14ac:dyDescent="0.25">
      <c r="A552" s="18" t="s">
        <v>1487</v>
      </c>
      <c r="B552">
        <v>0.22591923976249129</v>
      </c>
      <c r="C552" s="17">
        <f t="shared" si="8"/>
        <v>45216</v>
      </c>
      <c r="D552" s="17"/>
      <c r="J552" s="2" t="s">
        <v>891</v>
      </c>
    </row>
    <row r="553" spans="1:10" x14ac:dyDescent="0.25">
      <c r="A553" s="18" t="s">
        <v>427</v>
      </c>
      <c r="B553">
        <v>0.22653719398287808</v>
      </c>
      <c r="C553" s="17">
        <f t="shared" si="8"/>
        <v>45217</v>
      </c>
      <c r="D553" s="17"/>
      <c r="J553" s="2" t="s">
        <v>892</v>
      </c>
    </row>
    <row r="554" spans="1:10" x14ac:dyDescent="0.25">
      <c r="A554" s="18" t="s">
        <v>1250</v>
      </c>
      <c r="B554">
        <v>0.22666458654359045</v>
      </c>
      <c r="C554" s="17">
        <f t="shared" si="8"/>
        <v>45218</v>
      </c>
      <c r="D554" s="17"/>
      <c r="J554" s="2" t="s">
        <v>893</v>
      </c>
    </row>
    <row r="555" spans="1:10" x14ac:dyDescent="0.25">
      <c r="A555" s="18" t="s">
        <v>1818</v>
      </c>
      <c r="B555">
        <v>0.22677019228156503</v>
      </c>
      <c r="C555" s="17">
        <f t="shared" si="8"/>
        <v>45219</v>
      </c>
      <c r="D555" s="17"/>
      <c r="J555" s="2" t="s">
        <v>894</v>
      </c>
    </row>
    <row r="556" spans="1:10" x14ac:dyDescent="0.25">
      <c r="A556" s="18" t="s">
        <v>751</v>
      </c>
      <c r="B556">
        <v>0.22738610895058198</v>
      </c>
      <c r="C556" s="17">
        <f t="shared" si="8"/>
        <v>45220</v>
      </c>
      <c r="D556" s="17"/>
      <c r="J556" s="2" t="s">
        <v>79</v>
      </c>
    </row>
    <row r="557" spans="1:10" x14ac:dyDescent="0.25">
      <c r="A557" s="18" t="s">
        <v>709</v>
      </c>
      <c r="B557">
        <v>0.22752375495457122</v>
      </c>
      <c r="C557" s="17">
        <f t="shared" si="8"/>
        <v>45221</v>
      </c>
      <c r="D557" s="17"/>
      <c r="J557" s="2" t="s">
        <v>895</v>
      </c>
    </row>
    <row r="558" spans="1:10" x14ac:dyDescent="0.25">
      <c r="A558" s="18" t="s">
        <v>328</v>
      </c>
      <c r="B558">
        <v>0.22822420187725578</v>
      </c>
      <c r="C558" s="17">
        <f t="shared" si="8"/>
        <v>45222</v>
      </c>
      <c r="D558" s="17"/>
      <c r="J558" s="2" t="s">
        <v>896</v>
      </c>
    </row>
    <row r="559" spans="1:10" x14ac:dyDescent="0.25">
      <c r="A559" s="18" t="s">
        <v>1679</v>
      </c>
      <c r="B559">
        <v>0.22881486306737531</v>
      </c>
      <c r="C559" s="17">
        <f t="shared" si="8"/>
        <v>45223</v>
      </c>
      <c r="D559" s="17"/>
      <c r="J559" s="2" t="s">
        <v>897</v>
      </c>
    </row>
    <row r="560" spans="1:10" x14ac:dyDescent="0.25">
      <c r="A560" s="18" t="s">
        <v>589</v>
      </c>
      <c r="B560">
        <v>0.22887138353015379</v>
      </c>
      <c r="C560" s="17">
        <f t="shared" si="8"/>
        <v>45224</v>
      </c>
      <c r="D560" s="17"/>
      <c r="J560" s="2" t="s">
        <v>898</v>
      </c>
    </row>
    <row r="561" spans="1:10" x14ac:dyDescent="0.25">
      <c r="A561" s="18" t="s">
        <v>2103</v>
      </c>
      <c r="B561">
        <v>0.2307988560640023</v>
      </c>
      <c r="C561" s="17">
        <f t="shared" si="8"/>
        <v>45225</v>
      </c>
      <c r="D561" s="17"/>
      <c r="J561" s="2" t="s">
        <v>899</v>
      </c>
    </row>
    <row r="562" spans="1:10" x14ac:dyDescent="0.25">
      <c r="A562" s="18" t="s">
        <v>1485</v>
      </c>
      <c r="B562">
        <v>0.23191263310116517</v>
      </c>
      <c r="C562" s="17">
        <f t="shared" si="8"/>
        <v>45226</v>
      </c>
      <c r="D562" s="17"/>
      <c r="J562" s="2" t="s">
        <v>27</v>
      </c>
    </row>
    <row r="563" spans="1:10" x14ac:dyDescent="0.25">
      <c r="A563" s="18" t="s">
        <v>1390</v>
      </c>
      <c r="B563">
        <v>0.23198256895970637</v>
      </c>
      <c r="C563" s="17">
        <f t="shared" si="8"/>
        <v>45227</v>
      </c>
      <c r="D563" s="17"/>
      <c r="J563" s="2" t="s">
        <v>900</v>
      </c>
    </row>
    <row r="564" spans="1:10" x14ac:dyDescent="0.25">
      <c r="A564" s="18" t="s">
        <v>641</v>
      </c>
      <c r="B564">
        <v>0.2334146621153782</v>
      </c>
      <c r="C564" s="17">
        <f t="shared" si="8"/>
        <v>45228</v>
      </c>
      <c r="D564" s="17"/>
      <c r="J564" s="2" t="s">
        <v>901</v>
      </c>
    </row>
    <row r="565" spans="1:10" x14ac:dyDescent="0.25">
      <c r="A565" s="18" t="s">
        <v>1674</v>
      </c>
      <c r="B565">
        <v>0.23394209432736124</v>
      </c>
      <c r="C565" s="17">
        <f t="shared" si="8"/>
        <v>45229</v>
      </c>
      <c r="D565" s="17"/>
      <c r="J565" s="2" t="s">
        <v>902</v>
      </c>
    </row>
    <row r="566" spans="1:10" x14ac:dyDescent="0.25">
      <c r="A566" s="18" t="s">
        <v>1328</v>
      </c>
      <c r="B566">
        <v>0.23409603574416138</v>
      </c>
      <c r="C566" s="17">
        <f t="shared" si="8"/>
        <v>45230</v>
      </c>
      <c r="D566" s="17"/>
      <c r="J566" s="2" t="s">
        <v>903</v>
      </c>
    </row>
    <row r="567" spans="1:10" x14ac:dyDescent="0.25">
      <c r="A567" s="18" t="s">
        <v>524</v>
      </c>
      <c r="B567">
        <v>0.23533350830807731</v>
      </c>
      <c r="C567" s="17">
        <f t="shared" si="8"/>
        <v>45231</v>
      </c>
      <c r="D567" s="17"/>
      <c r="J567" s="2" t="s">
        <v>904</v>
      </c>
    </row>
    <row r="568" spans="1:10" x14ac:dyDescent="0.25">
      <c r="A568" s="18" t="s">
        <v>913</v>
      </c>
      <c r="B568">
        <v>0.23544402648097129</v>
      </c>
      <c r="C568" s="17">
        <f t="shared" si="8"/>
        <v>45232</v>
      </c>
      <c r="D568" s="17"/>
      <c r="J568" s="2" t="s">
        <v>905</v>
      </c>
    </row>
    <row r="569" spans="1:10" x14ac:dyDescent="0.25">
      <c r="A569" s="18" t="s">
        <v>1974</v>
      </c>
      <c r="B569">
        <v>0.23557993267131627</v>
      </c>
      <c r="C569" s="17">
        <f t="shared" si="8"/>
        <v>45233</v>
      </c>
      <c r="D569" s="17"/>
      <c r="J569" s="2" t="s">
        <v>906</v>
      </c>
    </row>
    <row r="570" spans="1:10" x14ac:dyDescent="0.25">
      <c r="A570" s="18" t="s">
        <v>350</v>
      </c>
      <c r="B570">
        <v>0.23587593630544812</v>
      </c>
      <c r="C570" s="17">
        <f t="shared" si="8"/>
        <v>45234</v>
      </c>
      <c r="D570" s="17"/>
      <c r="J570" s="2" t="s">
        <v>907</v>
      </c>
    </row>
    <row r="571" spans="1:10" x14ac:dyDescent="0.25">
      <c r="A571" s="18" t="s">
        <v>2213</v>
      </c>
      <c r="B571">
        <v>0.23611283858905874</v>
      </c>
      <c r="C571" s="17">
        <f t="shared" si="8"/>
        <v>45235</v>
      </c>
      <c r="D571" s="17"/>
      <c r="J571" s="2" t="s">
        <v>908</v>
      </c>
    </row>
    <row r="572" spans="1:10" x14ac:dyDescent="0.25">
      <c r="A572" s="18" t="s">
        <v>883</v>
      </c>
      <c r="B572">
        <v>0.2368440381614173</v>
      </c>
      <c r="C572" s="17">
        <f t="shared" si="8"/>
        <v>45236</v>
      </c>
      <c r="D572" s="17"/>
      <c r="J572" s="2" t="s">
        <v>308</v>
      </c>
    </row>
    <row r="573" spans="1:10" x14ac:dyDescent="0.25">
      <c r="A573" s="18" t="s">
        <v>224</v>
      </c>
      <c r="B573">
        <v>0.23705302939820128</v>
      </c>
      <c r="C573" s="17">
        <f t="shared" si="8"/>
        <v>45237</v>
      </c>
      <c r="D573" s="17"/>
      <c r="J573" s="2" t="s">
        <v>92</v>
      </c>
    </row>
    <row r="574" spans="1:10" x14ac:dyDescent="0.25">
      <c r="A574" s="18" t="s">
        <v>1772</v>
      </c>
      <c r="B574">
        <v>0.23707432533212791</v>
      </c>
      <c r="C574" s="17">
        <f t="shared" si="8"/>
        <v>45238</v>
      </c>
      <c r="D574" s="17"/>
      <c r="J574" s="2" t="s">
        <v>909</v>
      </c>
    </row>
    <row r="575" spans="1:10" x14ac:dyDescent="0.25">
      <c r="A575" s="18" t="s">
        <v>1414</v>
      </c>
      <c r="B575">
        <v>0.23724411867853179</v>
      </c>
      <c r="C575" s="17">
        <f t="shared" si="8"/>
        <v>45239</v>
      </c>
      <c r="D575" s="17"/>
      <c r="J575" s="2" t="s">
        <v>414</v>
      </c>
    </row>
    <row r="576" spans="1:10" x14ac:dyDescent="0.25">
      <c r="A576" s="18" t="s">
        <v>1189</v>
      </c>
      <c r="B576">
        <v>0.23970649561763302</v>
      </c>
      <c r="C576" s="17">
        <f t="shared" si="8"/>
        <v>45240</v>
      </c>
      <c r="D576" s="17"/>
      <c r="J576" s="2" t="s">
        <v>910</v>
      </c>
    </row>
    <row r="577" spans="1:10" x14ac:dyDescent="0.25">
      <c r="A577" s="18" t="e">
        <v>#VALUE!</v>
      </c>
      <c r="B577">
        <v>0.24153017648105446</v>
      </c>
      <c r="C577" s="17">
        <f t="shared" si="8"/>
        <v>45241</v>
      </c>
      <c r="D577" s="17"/>
      <c r="J577" s="2" t="s">
        <v>911</v>
      </c>
    </row>
    <row r="578" spans="1:10" x14ac:dyDescent="0.25">
      <c r="A578" s="18" t="s">
        <v>616</v>
      </c>
      <c r="B578">
        <v>0.24245553399660935</v>
      </c>
      <c r="C578" s="17">
        <f t="shared" si="8"/>
        <v>45242</v>
      </c>
      <c r="D578" s="17"/>
      <c r="J578" s="2" t="s">
        <v>912</v>
      </c>
    </row>
    <row r="579" spans="1:10" x14ac:dyDescent="0.25">
      <c r="A579" s="18" t="s">
        <v>431</v>
      </c>
      <c r="B579">
        <v>0.24296109237980335</v>
      </c>
      <c r="C579" s="17">
        <f t="shared" si="8"/>
        <v>45243</v>
      </c>
      <c r="D579" s="17"/>
      <c r="J579" s="2" t="s">
        <v>385</v>
      </c>
    </row>
    <row r="580" spans="1:10" x14ac:dyDescent="0.25">
      <c r="A580" s="18" t="s">
        <v>938</v>
      </c>
      <c r="B580">
        <v>0.24323100507123541</v>
      </c>
      <c r="C580" s="17">
        <f t="shared" ref="C580:C643" si="9">C579+1</f>
        <v>45244</v>
      </c>
      <c r="D580" s="17"/>
      <c r="J580" s="2" t="s">
        <v>220</v>
      </c>
    </row>
    <row r="581" spans="1:10" x14ac:dyDescent="0.25">
      <c r="A581" s="18" t="s">
        <v>1190</v>
      </c>
      <c r="B581">
        <v>0.24333993355862549</v>
      </c>
      <c r="C581" s="17">
        <f t="shared" si="9"/>
        <v>45245</v>
      </c>
      <c r="D581" s="17"/>
      <c r="J581" s="2" t="s">
        <v>913</v>
      </c>
    </row>
    <row r="582" spans="1:10" x14ac:dyDescent="0.25">
      <c r="A582" s="18" t="s">
        <v>1858</v>
      </c>
      <c r="B582">
        <v>0.24457304283847481</v>
      </c>
      <c r="C582" s="17">
        <f t="shared" si="9"/>
        <v>45246</v>
      </c>
      <c r="D582" s="17"/>
      <c r="J582" s="2" t="s">
        <v>914</v>
      </c>
    </row>
    <row r="583" spans="1:10" x14ac:dyDescent="0.25">
      <c r="A583" s="18" t="s">
        <v>1371</v>
      </c>
      <c r="B583">
        <v>0.24508106812117947</v>
      </c>
      <c r="C583" s="17">
        <f t="shared" si="9"/>
        <v>45247</v>
      </c>
      <c r="D583" s="17"/>
      <c r="J583" s="2" t="s">
        <v>162</v>
      </c>
    </row>
    <row r="584" spans="1:10" x14ac:dyDescent="0.25">
      <c r="A584" s="18" t="s">
        <v>744</v>
      </c>
      <c r="B584">
        <v>0.24576730538188996</v>
      </c>
      <c r="C584" s="17">
        <f t="shared" si="9"/>
        <v>45248</v>
      </c>
      <c r="D584" s="17"/>
      <c r="J584" s="2" t="s">
        <v>354</v>
      </c>
    </row>
    <row r="585" spans="1:10" x14ac:dyDescent="0.25">
      <c r="A585" s="18" t="s">
        <v>1506</v>
      </c>
      <c r="B585">
        <v>0.24593128020391553</v>
      </c>
      <c r="C585" s="17">
        <f t="shared" si="9"/>
        <v>45249</v>
      </c>
      <c r="D585" s="17"/>
      <c r="J585" s="2" t="s">
        <v>915</v>
      </c>
    </row>
    <row r="586" spans="1:10" x14ac:dyDescent="0.25">
      <c r="A586" s="18" t="s">
        <v>1543</v>
      </c>
      <c r="B586">
        <v>0.24708539581270339</v>
      </c>
      <c r="C586" s="17">
        <f t="shared" si="9"/>
        <v>45250</v>
      </c>
      <c r="D586" s="17"/>
      <c r="J586" s="2" t="s">
        <v>916</v>
      </c>
    </row>
    <row r="587" spans="1:10" x14ac:dyDescent="0.25">
      <c r="A587" s="18" t="s">
        <v>1239</v>
      </c>
      <c r="B587">
        <v>0.24719632350026799</v>
      </c>
      <c r="C587" s="17">
        <f t="shared" si="9"/>
        <v>45251</v>
      </c>
      <c r="D587" s="17"/>
      <c r="J587" s="2" t="s">
        <v>917</v>
      </c>
    </row>
    <row r="588" spans="1:10" x14ac:dyDescent="0.25">
      <c r="A588" s="18" t="s">
        <v>365</v>
      </c>
      <c r="B588">
        <v>0.24739382194321913</v>
      </c>
      <c r="C588" s="17">
        <f t="shared" si="9"/>
        <v>45252</v>
      </c>
      <c r="D588" s="17"/>
      <c r="J588" s="2" t="s">
        <v>918</v>
      </c>
    </row>
    <row r="589" spans="1:10" x14ac:dyDescent="0.25">
      <c r="A589" s="18" t="s">
        <v>2138</v>
      </c>
      <c r="B589">
        <v>0.24739508280974687</v>
      </c>
      <c r="C589" s="17">
        <f t="shared" si="9"/>
        <v>45253</v>
      </c>
      <c r="D589" s="17"/>
      <c r="J589" s="2" t="s">
        <v>919</v>
      </c>
    </row>
    <row r="590" spans="1:10" x14ac:dyDescent="0.25">
      <c r="A590" s="18" t="s">
        <v>1382</v>
      </c>
      <c r="B590">
        <v>0.2482335358932517</v>
      </c>
      <c r="C590" s="17">
        <f t="shared" si="9"/>
        <v>45254</v>
      </c>
      <c r="D590" s="17"/>
      <c r="J590" s="2" t="s">
        <v>920</v>
      </c>
    </row>
    <row r="591" spans="1:10" x14ac:dyDescent="0.25">
      <c r="A591" s="18" t="s">
        <v>101</v>
      </c>
      <c r="B591">
        <v>0.24849612829707113</v>
      </c>
      <c r="C591" s="17">
        <f t="shared" si="9"/>
        <v>45255</v>
      </c>
      <c r="D591" s="17"/>
      <c r="J591" s="2" t="s">
        <v>921</v>
      </c>
    </row>
    <row r="592" spans="1:10" x14ac:dyDescent="0.25">
      <c r="A592" s="18" t="s">
        <v>1087</v>
      </c>
      <c r="B592">
        <v>0.24865280626450925</v>
      </c>
      <c r="C592" s="17">
        <f t="shared" si="9"/>
        <v>45256</v>
      </c>
      <c r="D592" s="17"/>
      <c r="J592" s="2" t="s">
        <v>922</v>
      </c>
    </row>
    <row r="593" spans="1:10" x14ac:dyDescent="0.25">
      <c r="A593" s="18" t="s">
        <v>1798</v>
      </c>
      <c r="B593">
        <v>0.24990099961316392</v>
      </c>
      <c r="C593" s="17">
        <f t="shared" si="9"/>
        <v>45257</v>
      </c>
      <c r="D593" s="17"/>
      <c r="J593" s="2" t="s">
        <v>416</v>
      </c>
    </row>
    <row r="594" spans="1:10" x14ac:dyDescent="0.25">
      <c r="A594" s="18" t="s">
        <v>2215</v>
      </c>
      <c r="B594">
        <v>0.25011722207141218</v>
      </c>
      <c r="C594" s="17">
        <f t="shared" si="9"/>
        <v>45258</v>
      </c>
      <c r="D594" s="17"/>
      <c r="J594" s="2" t="s">
        <v>923</v>
      </c>
    </row>
    <row r="595" spans="1:10" x14ac:dyDescent="0.25">
      <c r="A595" s="18" t="s">
        <v>1549</v>
      </c>
      <c r="B595">
        <v>0.25015803204441578</v>
      </c>
      <c r="C595" s="17">
        <f t="shared" si="9"/>
        <v>45259</v>
      </c>
      <c r="D595" s="17"/>
      <c r="J595" s="2" t="s">
        <v>924</v>
      </c>
    </row>
    <row r="596" spans="1:10" x14ac:dyDescent="0.25">
      <c r="A596" s="18" t="s">
        <v>58</v>
      </c>
      <c r="B596">
        <v>0.25134136634378712</v>
      </c>
      <c r="C596" s="17">
        <f t="shared" si="9"/>
        <v>45260</v>
      </c>
      <c r="D596" s="17"/>
      <c r="J596" s="2" t="s">
        <v>925</v>
      </c>
    </row>
    <row r="597" spans="1:10" x14ac:dyDescent="0.25">
      <c r="A597" s="18" t="s">
        <v>1444</v>
      </c>
      <c r="B597">
        <v>0.25137846143502585</v>
      </c>
      <c r="C597" s="17">
        <f t="shared" si="9"/>
        <v>45261</v>
      </c>
      <c r="D597" s="17"/>
      <c r="J597" s="2" t="s">
        <v>191</v>
      </c>
    </row>
    <row r="598" spans="1:10" x14ac:dyDescent="0.25">
      <c r="A598" s="18" t="s">
        <v>31</v>
      </c>
      <c r="B598">
        <v>0.25179823675392121</v>
      </c>
      <c r="C598" s="17">
        <f t="shared" si="9"/>
        <v>45262</v>
      </c>
      <c r="D598" s="17"/>
      <c r="J598" s="2" t="s">
        <v>926</v>
      </c>
    </row>
    <row r="599" spans="1:10" x14ac:dyDescent="0.25">
      <c r="A599" s="18" t="s">
        <v>768</v>
      </c>
      <c r="B599">
        <v>0.25346029474443477</v>
      </c>
      <c r="C599" s="17">
        <f t="shared" si="9"/>
        <v>45263</v>
      </c>
      <c r="D599" s="17"/>
      <c r="J599" s="2" t="s">
        <v>223</v>
      </c>
    </row>
    <row r="600" spans="1:10" x14ac:dyDescent="0.25">
      <c r="A600" s="18" t="s">
        <v>173</v>
      </c>
      <c r="B600">
        <v>0.25423910442173825</v>
      </c>
      <c r="C600" s="17">
        <f t="shared" si="9"/>
        <v>45264</v>
      </c>
      <c r="D600" s="17"/>
      <c r="J600" s="2" t="s">
        <v>927</v>
      </c>
    </row>
    <row r="601" spans="1:10" x14ac:dyDescent="0.25">
      <c r="A601" s="18" t="s">
        <v>1183</v>
      </c>
      <c r="B601">
        <v>0.25438195857432944</v>
      </c>
      <c r="C601" s="17">
        <f t="shared" si="9"/>
        <v>45265</v>
      </c>
      <c r="D601" s="17"/>
      <c r="J601" s="2" t="s">
        <v>928</v>
      </c>
    </row>
    <row r="602" spans="1:10" x14ac:dyDescent="0.25">
      <c r="A602" s="18" t="s">
        <v>1738</v>
      </c>
      <c r="B602">
        <v>0.25579514628420608</v>
      </c>
      <c r="C602" s="17">
        <f t="shared" si="9"/>
        <v>45266</v>
      </c>
      <c r="D602" s="17"/>
      <c r="J602" s="2" t="s">
        <v>929</v>
      </c>
    </row>
    <row r="603" spans="1:10" x14ac:dyDescent="0.25">
      <c r="A603" s="18" t="s">
        <v>569</v>
      </c>
      <c r="B603">
        <v>0.25629364115017528</v>
      </c>
      <c r="C603" s="17">
        <f t="shared" si="9"/>
        <v>45267</v>
      </c>
      <c r="D603" s="17"/>
      <c r="J603" s="2" t="s">
        <v>930</v>
      </c>
    </row>
    <row r="604" spans="1:10" x14ac:dyDescent="0.25">
      <c r="A604" s="18" t="s">
        <v>1215</v>
      </c>
      <c r="B604">
        <v>0.25698263385080278</v>
      </c>
      <c r="C604" s="17">
        <f t="shared" si="9"/>
        <v>45268</v>
      </c>
      <c r="D604" s="17"/>
      <c r="J604" s="2" t="s">
        <v>931</v>
      </c>
    </row>
    <row r="605" spans="1:10" x14ac:dyDescent="0.25">
      <c r="A605" s="18" t="s">
        <v>1352</v>
      </c>
      <c r="B605">
        <v>0.2571011527930378</v>
      </c>
      <c r="C605" s="17">
        <f t="shared" si="9"/>
        <v>45269</v>
      </c>
      <c r="D605" s="17"/>
      <c r="J605" s="2" t="s">
        <v>293</v>
      </c>
    </row>
    <row r="606" spans="1:10" x14ac:dyDescent="0.25">
      <c r="A606" s="18" t="s">
        <v>2286</v>
      </c>
      <c r="B606">
        <v>0.25760860898051652</v>
      </c>
      <c r="C606" s="17">
        <f t="shared" si="9"/>
        <v>45270</v>
      </c>
      <c r="D606" s="17"/>
      <c r="J606" s="2" t="s">
        <v>932</v>
      </c>
    </row>
    <row r="607" spans="1:10" x14ac:dyDescent="0.25">
      <c r="A607" s="18" t="s">
        <v>482</v>
      </c>
      <c r="B607">
        <v>0.25784902219414951</v>
      </c>
      <c r="C607" s="17">
        <f t="shared" si="9"/>
        <v>45271</v>
      </c>
      <c r="D607" s="17"/>
      <c r="J607" s="2" t="s">
        <v>165</v>
      </c>
    </row>
    <row r="608" spans="1:10" x14ac:dyDescent="0.25">
      <c r="A608" s="18" t="s">
        <v>1576</v>
      </c>
      <c r="B608">
        <v>0.2588805082160488</v>
      </c>
      <c r="C608" s="17">
        <f t="shared" si="9"/>
        <v>45272</v>
      </c>
      <c r="D608" s="17"/>
      <c r="J608" s="2" t="s">
        <v>933</v>
      </c>
    </row>
    <row r="609" spans="1:10" x14ac:dyDescent="0.25">
      <c r="A609" s="18" t="s">
        <v>366</v>
      </c>
      <c r="B609">
        <v>0.25949532790711716</v>
      </c>
      <c r="C609" s="17">
        <f t="shared" si="9"/>
        <v>45273</v>
      </c>
      <c r="D609" s="17"/>
      <c r="J609" s="2" t="s">
        <v>934</v>
      </c>
    </row>
    <row r="610" spans="1:10" x14ac:dyDescent="0.25">
      <c r="A610" s="18" t="s">
        <v>657</v>
      </c>
      <c r="B610">
        <v>0.25967881670941129</v>
      </c>
      <c r="C610" s="17">
        <f t="shared" si="9"/>
        <v>45274</v>
      </c>
      <c r="D610" s="17"/>
      <c r="J610" s="2" t="s">
        <v>935</v>
      </c>
    </row>
    <row r="611" spans="1:10" x14ac:dyDescent="0.25">
      <c r="A611" s="18" t="s">
        <v>1742</v>
      </c>
      <c r="B611">
        <v>0.25999203708006902</v>
      </c>
      <c r="C611" s="17">
        <f t="shared" si="9"/>
        <v>45275</v>
      </c>
      <c r="D611" s="17"/>
      <c r="J611" s="2" t="s">
        <v>936</v>
      </c>
    </row>
    <row r="612" spans="1:10" x14ac:dyDescent="0.25">
      <c r="A612" s="18" t="s">
        <v>1422</v>
      </c>
      <c r="B612">
        <v>0.26039626525364212</v>
      </c>
      <c r="C612" s="17">
        <f t="shared" si="9"/>
        <v>45276</v>
      </c>
      <c r="D612" s="17"/>
      <c r="J612" s="2" t="s">
        <v>937</v>
      </c>
    </row>
    <row r="613" spans="1:10" x14ac:dyDescent="0.25">
      <c r="A613" s="18" t="s">
        <v>1156</v>
      </c>
      <c r="B613">
        <v>0.26057566746294114</v>
      </c>
      <c r="C613" s="17">
        <f t="shared" si="9"/>
        <v>45277</v>
      </c>
      <c r="D613" s="17"/>
      <c r="J613" s="2" t="s">
        <v>938</v>
      </c>
    </row>
    <row r="614" spans="1:10" x14ac:dyDescent="0.25">
      <c r="A614" s="18" t="s">
        <v>576</v>
      </c>
      <c r="B614">
        <v>0.26111435703162411</v>
      </c>
      <c r="C614" s="17">
        <f t="shared" si="9"/>
        <v>45278</v>
      </c>
      <c r="D614" s="17"/>
      <c r="J614" s="2" t="s">
        <v>219</v>
      </c>
    </row>
    <row r="615" spans="1:10" x14ac:dyDescent="0.25">
      <c r="A615" s="18" t="s">
        <v>1314</v>
      </c>
      <c r="B615">
        <v>0.26136456345539893</v>
      </c>
      <c r="C615" s="17">
        <f t="shared" si="9"/>
        <v>45279</v>
      </c>
      <c r="D615" s="17"/>
      <c r="J615" s="2" t="s">
        <v>939</v>
      </c>
    </row>
    <row r="616" spans="1:10" x14ac:dyDescent="0.25">
      <c r="A616" s="18" t="s">
        <v>1241</v>
      </c>
      <c r="B616">
        <v>0.26188766683612974</v>
      </c>
      <c r="C616" s="17">
        <f t="shared" si="9"/>
        <v>45280</v>
      </c>
      <c r="D616" s="17"/>
      <c r="J616" s="2" t="s">
        <v>940</v>
      </c>
    </row>
    <row r="617" spans="1:10" x14ac:dyDescent="0.25">
      <c r="A617" s="18" t="s">
        <v>2165</v>
      </c>
      <c r="B617">
        <v>0.26194308697671442</v>
      </c>
      <c r="C617" s="17">
        <f t="shared" si="9"/>
        <v>45281</v>
      </c>
      <c r="D617" s="17"/>
      <c r="J617" s="2" t="s">
        <v>24</v>
      </c>
    </row>
    <row r="618" spans="1:10" x14ac:dyDescent="0.25">
      <c r="A618" s="18" t="s">
        <v>739</v>
      </c>
      <c r="B618">
        <v>0.26199156937098012</v>
      </c>
      <c r="C618" s="17">
        <f t="shared" si="9"/>
        <v>45282</v>
      </c>
      <c r="D618" s="17"/>
      <c r="J618" s="2" t="s">
        <v>941</v>
      </c>
    </row>
    <row r="619" spans="1:10" x14ac:dyDescent="0.25">
      <c r="A619" s="18" t="s">
        <v>135</v>
      </c>
      <c r="B619">
        <v>0.26224619392994819</v>
      </c>
      <c r="C619" s="17">
        <f t="shared" si="9"/>
        <v>45283</v>
      </c>
      <c r="D619" s="17"/>
      <c r="J619" s="2" t="s">
        <v>186</v>
      </c>
    </row>
    <row r="620" spans="1:10" x14ac:dyDescent="0.25">
      <c r="A620" s="18" t="s">
        <v>1652</v>
      </c>
      <c r="B620">
        <v>0.26237148414755795</v>
      </c>
      <c r="C620" s="17">
        <f t="shared" si="9"/>
        <v>45284</v>
      </c>
      <c r="D620" s="17"/>
      <c r="J620" s="2" t="s">
        <v>147</v>
      </c>
    </row>
    <row r="621" spans="1:10" x14ac:dyDescent="0.25">
      <c r="A621" s="18" t="s">
        <v>51</v>
      </c>
      <c r="B621">
        <v>0.26339300987434877</v>
      </c>
      <c r="C621" s="17">
        <f t="shared" si="9"/>
        <v>45285</v>
      </c>
      <c r="D621" s="17"/>
      <c r="J621" s="2" t="s">
        <v>942</v>
      </c>
    </row>
    <row r="622" spans="1:10" x14ac:dyDescent="0.25">
      <c r="A622" s="18" t="s">
        <v>1778</v>
      </c>
      <c r="B622">
        <v>0.2635315595551958</v>
      </c>
      <c r="C622" s="17">
        <f t="shared" si="9"/>
        <v>45286</v>
      </c>
      <c r="D622" s="17"/>
      <c r="J622" s="2" t="s">
        <v>943</v>
      </c>
    </row>
    <row r="623" spans="1:10" x14ac:dyDescent="0.25">
      <c r="A623" s="18" t="s">
        <v>982</v>
      </c>
      <c r="B623">
        <v>0.26360026503086109</v>
      </c>
      <c r="C623" s="17">
        <f t="shared" si="9"/>
        <v>45287</v>
      </c>
      <c r="D623" s="17"/>
      <c r="J623" s="2" t="s">
        <v>944</v>
      </c>
    </row>
    <row r="624" spans="1:10" x14ac:dyDescent="0.25">
      <c r="A624" s="18" t="s">
        <v>1624</v>
      </c>
      <c r="B624">
        <v>0.26523003853600557</v>
      </c>
      <c r="C624" s="17">
        <f t="shared" si="9"/>
        <v>45288</v>
      </c>
      <c r="D624" s="17"/>
      <c r="J624" s="2" t="s">
        <v>945</v>
      </c>
    </row>
    <row r="625" spans="1:10" x14ac:dyDescent="0.25">
      <c r="A625" s="18" t="s">
        <v>382</v>
      </c>
      <c r="B625">
        <v>0.26528858402489963</v>
      </c>
      <c r="C625" s="17">
        <f t="shared" si="9"/>
        <v>45289</v>
      </c>
      <c r="D625" s="17"/>
      <c r="J625" s="2" t="s">
        <v>946</v>
      </c>
    </row>
    <row r="626" spans="1:10" x14ac:dyDescent="0.25">
      <c r="A626" s="18" t="s">
        <v>1433</v>
      </c>
      <c r="B626">
        <v>0.26538446209121047</v>
      </c>
      <c r="C626" s="17">
        <f t="shared" si="9"/>
        <v>45290</v>
      </c>
      <c r="D626" s="17"/>
      <c r="J626" s="2" t="s">
        <v>947</v>
      </c>
    </row>
    <row r="627" spans="1:10" x14ac:dyDescent="0.25">
      <c r="A627" s="18" t="s">
        <v>332</v>
      </c>
      <c r="B627">
        <v>0.26609237230457683</v>
      </c>
      <c r="C627" s="17">
        <f t="shared" si="9"/>
        <v>45291</v>
      </c>
      <c r="D627" s="17"/>
      <c r="J627" s="2" t="s">
        <v>948</v>
      </c>
    </row>
    <row r="628" spans="1:10" x14ac:dyDescent="0.25">
      <c r="A628" s="18" t="s">
        <v>1032</v>
      </c>
      <c r="B628">
        <v>0.26612014072457657</v>
      </c>
      <c r="C628" s="17">
        <f t="shared" si="9"/>
        <v>45292</v>
      </c>
      <c r="D628" s="17"/>
      <c r="J628" s="2" t="s">
        <v>87</v>
      </c>
    </row>
    <row r="629" spans="1:10" x14ac:dyDescent="0.25">
      <c r="A629" s="18" t="s">
        <v>48</v>
      </c>
      <c r="B629">
        <v>0.26714532355928189</v>
      </c>
      <c r="C629" s="17">
        <f t="shared" si="9"/>
        <v>45293</v>
      </c>
      <c r="D629" s="17"/>
      <c r="J629" s="2" t="s">
        <v>949</v>
      </c>
    </row>
    <row r="630" spans="1:10" x14ac:dyDescent="0.25">
      <c r="A630" s="18" t="s">
        <v>64</v>
      </c>
      <c r="B630">
        <v>0.26748582705188118</v>
      </c>
      <c r="C630" s="17">
        <f t="shared" si="9"/>
        <v>45294</v>
      </c>
      <c r="D630" s="17"/>
      <c r="J630" s="2" t="s">
        <v>950</v>
      </c>
    </row>
    <row r="631" spans="1:10" x14ac:dyDescent="0.25">
      <c r="A631" s="18" t="s">
        <v>1913</v>
      </c>
      <c r="B631">
        <v>0.26826612232766511</v>
      </c>
      <c r="C631" s="17">
        <f t="shared" si="9"/>
        <v>45295</v>
      </c>
      <c r="D631" s="17"/>
      <c r="J631" s="2" t="s">
        <v>285</v>
      </c>
    </row>
    <row r="632" spans="1:10" x14ac:dyDescent="0.25">
      <c r="A632" s="18" t="s">
        <v>971</v>
      </c>
      <c r="B632">
        <v>0.26925164845968386</v>
      </c>
      <c r="C632" s="17">
        <f t="shared" si="9"/>
        <v>45296</v>
      </c>
      <c r="D632" s="17"/>
      <c r="J632" s="2" t="s">
        <v>951</v>
      </c>
    </row>
    <row r="633" spans="1:10" x14ac:dyDescent="0.25">
      <c r="A633" s="18" t="s">
        <v>2234</v>
      </c>
      <c r="B633">
        <v>0.2696924555873822</v>
      </c>
      <c r="C633" s="17">
        <f t="shared" si="9"/>
        <v>45297</v>
      </c>
      <c r="D633" s="17"/>
      <c r="J633" s="2" t="s">
        <v>952</v>
      </c>
    </row>
    <row r="634" spans="1:10" x14ac:dyDescent="0.25">
      <c r="A634" s="18" t="s">
        <v>1089</v>
      </c>
      <c r="B634">
        <v>0.27141583832493077</v>
      </c>
      <c r="C634" s="17">
        <f t="shared" si="9"/>
        <v>45298</v>
      </c>
      <c r="D634" s="17"/>
      <c r="J634" s="2" t="s">
        <v>953</v>
      </c>
    </row>
    <row r="635" spans="1:10" x14ac:dyDescent="0.25">
      <c r="A635" s="18" t="s">
        <v>960</v>
      </c>
      <c r="B635">
        <v>0.27297940891181049</v>
      </c>
      <c r="C635" s="17">
        <f t="shared" si="9"/>
        <v>45299</v>
      </c>
      <c r="D635" s="17"/>
      <c r="J635" s="2" t="s">
        <v>954</v>
      </c>
    </row>
    <row r="636" spans="1:10" x14ac:dyDescent="0.25">
      <c r="A636" s="18" t="s">
        <v>1088</v>
      </c>
      <c r="B636">
        <v>0.27298896493628544</v>
      </c>
      <c r="C636" s="17">
        <f t="shared" si="9"/>
        <v>45300</v>
      </c>
      <c r="D636" s="17"/>
      <c r="J636" s="2" t="s">
        <v>955</v>
      </c>
    </row>
    <row r="637" spans="1:10" x14ac:dyDescent="0.25">
      <c r="A637" s="18" t="s">
        <v>568</v>
      </c>
      <c r="B637">
        <v>0.27323443577125994</v>
      </c>
      <c r="C637" s="17">
        <f t="shared" si="9"/>
        <v>45301</v>
      </c>
      <c r="D637" s="17"/>
      <c r="J637" s="2" t="s">
        <v>956</v>
      </c>
    </row>
    <row r="638" spans="1:10" x14ac:dyDescent="0.25">
      <c r="A638" s="18" t="s">
        <v>836</v>
      </c>
      <c r="B638">
        <v>0.27385837819264136</v>
      </c>
      <c r="C638" s="17">
        <f t="shared" si="9"/>
        <v>45302</v>
      </c>
      <c r="D638" s="17"/>
      <c r="J638" s="2" t="s">
        <v>347</v>
      </c>
    </row>
    <row r="639" spans="1:10" x14ac:dyDescent="0.25">
      <c r="A639" s="18" t="s">
        <v>2207</v>
      </c>
      <c r="B639">
        <v>0.27449453568502291</v>
      </c>
      <c r="C639" s="17">
        <f t="shared" si="9"/>
        <v>45303</v>
      </c>
      <c r="D639" s="17"/>
      <c r="J639" s="2" t="s">
        <v>957</v>
      </c>
    </row>
    <row r="640" spans="1:10" x14ac:dyDescent="0.25">
      <c r="A640" s="18" t="s">
        <v>239</v>
      </c>
      <c r="B640">
        <v>0.27506135365988327</v>
      </c>
      <c r="C640" s="17">
        <f t="shared" si="9"/>
        <v>45304</v>
      </c>
      <c r="D640" s="17"/>
      <c r="J640" s="2" t="s">
        <v>958</v>
      </c>
    </row>
    <row r="641" spans="1:10" x14ac:dyDescent="0.25">
      <c r="A641" s="18" t="s">
        <v>665</v>
      </c>
      <c r="B641">
        <v>0.27550527307802153</v>
      </c>
      <c r="C641" s="17">
        <f t="shared" si="9"/>
        <v>45305</v>
      </c>
      <c r="D641" s="17"/>
      <c r="J641" s="2" t="s">
        <v>959</v>
      </c>
    </row>
    <row r="642" spans="1:10" x14ac:dyDescent="0.25">
      <c r="A642" s="18" t="s">
        <v>1313</v>
      </c>
      <c r="B642">
        <v>0.27556191501188509</v>
      </c>
      <c r="C642" s="17">
        <f t="shared" si="9"/>
        <v>45306</v>
      </c>
      <c r="D642" s="17"/>
      <c r="J642" s="2" t="s">
        <v>960</v>
      </c>
    </row>
    <row r="643" spans="1:10" x14ac:dyDescent="0.25">
      <c r="A643" s="18" t="s">
        <v>300</v>
      </c>
      <c r="B643">
        <v>0.27575104571303721</v>
      </c>
      <c r="C643" s="17">
        <f t="shared" si="9"/>
        <v>45307</v>
      </c>
      <c r="D643" s="17"/>
      <c r="J643" s="2" t="s">
        <v>961</v>
      </c>
    </row>
    <row r="644" spans="1:10" x14ac:dyDescent="0.25">
      <c r="A644" s="18" t="s">
        <v>175</v>
      </c>
      <c r="B644">
        <v>0.27605273996958846</v>
      </c>
      <c r="C644" s="17">
        <f t="shared" ref="C644:C707" si="10">C643+1</f>
        <v>45308</v>
      </c>
      <c r="D644" s="17"/>
      <c r="J644" s="2" t="s">
        <v>962</v>
      </c>
    </row>
    <row r="645" spans="1:10" x14ac:dyDescent="0.25">
      <c r="A645" s="18" t="s">
        <v>1474</v>
      </c>
      <c r="B645">
        <v>0.27636160977563606</v>
      </c>
      <c r="C645" s="17">
        <f t="shared" si="10"/>
        <v>45309</v>
      </c>
      <c r="D645" s="17"/>
      <c r="J645" s="2" t="s">
        <v>963</v>
      </c>
    </row>
    <row r="646" spans="1:10" x14ac:dyDescent="0.25">
      <c r="A646" s="18" t="s">
        <v>29</v>
      </c>
      <c r="B646">
        <v>0.27658503049575145</v>
      </c>
      <c r="C646" s="17">
        <f t="shared" si="10"/>
        <v>45310</v>
      </c>
      <c r="D646" s="17"/>
      <c r="J646" s="2" t="s">
        <v>964</v>
      </c>
    </row>
    <row r="647" spans="1:10" x14ac:dyDescent="0.25">
      <c r="A647" s="18" t="s">
        <v>710</v>
      </c>
      <c r="B647">
        <v>0.27659231532448836</v>
      </c>
      <c r="C647" s="17">
        <f t="shared" si="10"/>
        <v>45311</v>
      </c>
      <c r="D647" s="17"/>
      <c r="J647" s="2" t="s">
        <v>99</v>
      </c>
    </row>
    <row r="648" spans="1:10" x14ac:dyDescent="0.25">
      <c r="A648" s="18" t="s">
        <v>921</v>
      </c>
      <c r="B648">
        <v>0.27699763651560205</v>
      </c>
      <c r="C648" s="17">
        <f t="shared" si="10"/>
        <v>45312</v>
      </c>
      <c r="D648" s="17"/>
      <c r="J648" s="2" t="s">
        <v>440</v>
      </c>
    </row>
    <row r="649" spans="1:10" x14ac:dyDescent="0.25">
      <c r="A649" s="18" t="s">
        <v>2042</v>
      </c>
      <c r="B649">
        <v>0.27725814461489928</v>
      </c>
      <c r="C649" s="17">
        <f t="shared" si="10"/>
        <v>45313</v>
      </c>
      <c r="D649" s="17"/>
      <c r="J649" s="2" t="s">
        <v>965</v>
      </c>
    </row>
    <row r="650" spans="1:10" x14ac:dyDescent="0.25">
      <c r="A650" s="18" t="s">
        <v>1117</v>
      </c>
      <c r="B650">
        <v>0.27748041656769773</v>
      </c>
      <c r="C650" s="17">
        <f t="shared" si="10"/>
        <v>45314</v>
      </c>
      <c r="D650" s="17"/>
      <c r="J650" s="2" t="s">
        <v>966</v>
      </c>
    </row>
    <row r="651" spans="1:10" x14ac:dyDescent="0.25">
      <c r="A651" s="18" t="s">
        <v>644</v>
      </c>
      <c r="B651">
        <v>0.27756506442823969</v>
      </c>
      <c r="C651" s="17">
        <f t="shared" si="10"/>
        <v>45315</v>
      </c>
      <c r="D651" s="17"/>
      <c r="J651" s="2" t="s">
        <v>21</v>
      </c>
    </row>
    <row r="652" spans="1:10" x14ac:dyDescent="0.25">
      <c r="A652" s="18" t="s">
        <v>193</v>
      </c>
      <c r="B652">
        <v>0.27787474532099865</v>
      </c>
      <c r="C652" s="17">
        <f t="shared" si="10"/>
        <v>45316</v>
      </c>
      <c r="D652" s="17"/>
      <c r="J652" s="2" t="s">
        <v>967</v>
      </c>
    </row>
    <row r="653" spans="1:10" x14ac:dyDescent="0.25">
      <c r="A653" s="18" t="s">
        <v>765</v>
      </c>
      <c r="B653">
        <v>0.27964471943616132</v>
      </c>
      <c r="C653" s="17">
        <f t="shared" si="10"/>
        <v>45317</v>
      </c>
      <c r="D653" s="17"/>
      <c r="J653" s="2" t="s">
        <v>968</v>
      </c>
    </row>
    <row r="654" spans="1:10" x14ac:dyDescent="0.25">
      <c r="A654" s="18" t="s">
        <v>2134</v>
      </c>
      <c r="B654">
        <v>0.27988540703691167</v>
      </c>
      <c r="C654" s="17">
        <f t="shared" si="10"/>
        <v>45318</v>
      </c>
      <c r="D654" s="17"/>
      <c r="J654" s="2" t="s">
        <v>71</v>
      </c>
    </row>
    <row r="655" spans="1:10" x14ac:dyDescent="0.25">
      <c r="A655" s="18" t="s">
        <v>976</v>
      </c>
      <c r="B655">
        <v>0.28001058697103298</v>
      </c>
      <c r="C655" s="17">
        <f t="shared" si="10"/>
        <v>45319</v>
      </c>
      <c r="D655" s="17"/>
      <c r="J655" s="2" t="s">
        <v>307</v>
      </c>
    </row>
    <row r="656" spans="1:10" x14ac:dyDescent="0.25">
      <c r="A656" s="18" t="s">
        <v>1797</v>
      </c>
      <c r="B656">
        <v>0.28016606705667191</v>
      </c>
      <c r="C656" s="17">
        <f t="shared" si="10"/>
        <v>45320</v>
      </c>
      <c r="D656" s="17"/>
      <c r="J656" s="2" t="s">
        <v>969</v>
      </c>
    </row>
    <row r="657" spans="1:10" x14ac:dyDescent="0.25">
      <c r="A657" s="18" t="s">
        <v>192</v>
      </c>
      <c r="B657">
        <v>0.28049331971962155</v>
      </c>
      <c r="C657" s="17">
        <f t="shared" si="10"/>
        <v>45321</v>
      </c>
      <c r="D657" s="17"/>
      <c r="J657" s="2" t="s">
        <v>970</v>
      </c>
    </row>
    <row r="658" spans="1:10" x14ac:dyDescent="0.25">
      <c r="A658" s="18" t="s">
        <v>128</v>
      </c>
      <c r="B658">
        <v>0.28071871486770572</v>
      </c>
      <c r="C658" s="17">
        <f t="shared" si="10"/>
        <v>45322</v>
      </c>
      <c r="D658" s="17"/>
      <c r="J658" s="2" t="s">
        <v>183</v>
      </c>
    </row>
    <row r="659" spans="1:10" x14ac:dyDescent="0.25">
      <c r="A659" s="18" t="s">
        <v>914</v>
      </c>
      <c r="B659">
        <v>0.28100992629020494</v>
      </c>
      <c r="C659" s="17">
        <f t="shared" si="10"/>
        <v>45323</v>
      </c>
      <c r="D659" s="17"/>
      <c r="J659" s="2" t="s">
        <v>325</v>
      </c>
    </row>
    <row r="660" spans="1:10" x14ac:dyDescent="0.25">
      <c r="A660" s="18" t="s">
        <v>1887</v>
      </c>
      <c r="B660">
        <v>0.28107135281416606</v>
      </c>
      <c r="C660" s="17">
        <f t="shared" si="10"/>
        <v>45324</v>
      </c>
      <c r="D660" s="17"/>
      <c r="J660" s="2" t="s">
        <v>971</v>
      </c>
    </row>
    <row r="661" spans="1:10" x14ac:dyDescent="0.25">
      <c r="A661" s="18" t="s">
        <v>1302</v>
      </c>
      <c r="B661">
        <v>0.28116195090275808</v>
      </c>
      <c r="C661" s="17">
        <f t="shared" si="10"/>
        <v>45325</v>
      </c>
      <c r="D661" s="17"/>
      <c r="J661" s="2" t="s">
        <v>972</v>
      </c>
    </row>
    <row r="662" spans="1:10" x14ac:dyDescent="0.25">
      <c r="A662" s="18" t="s">
        <v>1540</v>
      </c>
      <c r="B662">
        <v>0.28123977239320885</v>
      </c>
      <c r="C662" s="17">
        <f t="shared" si="10"/>
        <v>45326</v>
      </c>
      <c r="D662" s="17"/>
      <c r="J662" s="2" t="s">
        <v>257</v>
      </c>
    </row>
    <row r="663" spans="1:10" x14ac:dyDescent="0.25">
      <c r="A663" s="18" t="s">
        <v>302</v>
      </c>
      <c r="B663">
        <v>0.28217187422809076</v>
      </c>
      <c r="C663" s="17">
        <f t="shared" si="10"/>
        <v>45327</v>
      </c>
      <c r="D663" s="17"/>
      <c r="J663" s="2" t="s">
        <v>973</v>
      </c>
    </row>
    <row r="664" spans="1:10" x14ac:dyDescent="0.25">
      <c r="A664" s="18" t="s">
        <v>999</v>
      </c>
      <c r="B664">
        <v>0.28360936407224346</v>
      </c>
      <c r="C664" s="17">
        <f t="shared" si="10"/>
        <v>45328</v>
      </c>
      <c r="D664" s="17"/>
      <c r="J664" s="2" t="s">
        <v>974</v>
      </c>
    </row>
    <row r="665" spans="1:10" x14ac:dyDescent="0.25">
      <c r="A665" s="18" t="s">
        <v>330</v>
      </c>
      <c r="B665">
        <v>0.28361386977214087</v>
      </c>
      <c r="C665" s="17">
        <f t="shared" si="10"/>
        <v>45329</v>
      </c>
      <c r="D665" s="17"/>
      <c r="J665" s="2" t="s">
        <v>90</v>
      </c>
    </row>
    <row r="666" spans="1:10" x14ac:dyDescent="0.25">
      <c r="A666" s="18" t="s">
        <v>2133</v>
      </c>
      <c r="B666">
        <v>0.28506044504423378</v>
      </c>
      <c r="C666" s="17">
        <f t="shared" si="10"/>
        <v>45330</v>
      </c>
      <c r="D666" s="17"/>
      <c r="J666" s="2" t="s">
        <v>975</v>
      </c>
    </row>
    <row r="667" spans="1:10" x14ac:dyDescent="0.25">
      <c r="A667" s="18" t="s">
        <v>1473</v>
      </c>
      <c r="B667">
        <v>0.28509881265808257</v>
      </c>
      <c r="C667" s="17">
        <f t="shared" si="10"/>
        <v>45331</v>
      </c>
      <c r="D667" s="17"/>
      <c r="J667" s="2" t="s">
        <v>976</v>
      </c>
    </row>
    <row r="668" spans="1:10" x14ac:dyDescent="0.25">
      <c r="A668" s="18" t="s">
        <v>777</v>
      </c>
      <c r="B668">
        <v>0.28538391814741693</v>
      </c>
      <c r="C668" s="17">
        <f t="shared" si="10"/>
        <v>45332</v>
      </c>
      <c r="D668" s="17"/>
      <c r="J668" s="2" t="s">
        <v>353</v>
      </c>
    </row>
    <row r="669" spans="1:10" x14ac:dyDescent="0.25">
      <c r="A669" s="18" t="s">
        <v>1656</v>
      </c>
      <c r="B669">
        <v>0.2855233258887806</v>
      </c>
      <c r="C669" s="17">
        <f t="shared" si="10"/>
        <v>45333</v>
      </c>
      <c r="D669" s="17"/>
      <c r="J669" s="2" t="s">
        <v>977</v>
      </c>
    </row>
    <row r="670" spans="1:10" x14ac:dyDescent="0.25">
      <c r="A670" s="18" t="s">
        <v>624</v>
      </c>
      <c r="B670">
        <v>0.28598704553864607</v>
      </c>
      <c r="C670" s="17">
        <f t="shared" si="10"/>
        <v>45334</v>
      </c>
      <c r="D670" s="17"/>
      <c r="J670" s="2" t="s">
        <v>978</v>
      </c>
    </row>
    <row r="671" spans="1:10" x14ac:dyDescent="0.25">
      <c r="A671" s="18" t="s">
        <v>666</v>
      </c>
      <c r="B671">
        <v>0.28631980845483629</v>
      </c>
      <c r="C671" s="17">
        <f t="shared" si="10"/>
        <v>45335</v>
      </c>
      <c r="D671" s="17"/>
      <c r="J671" s="2" t="s">
        <v>979</v>
      </c>
    </row>
    <row r="672" spans="1:10" x14ac:dyDescent="0.25">
      <c r="A672" s="18" t="s">
        <v>1337</v>
      </c>
      <c r="B672">
        <v>0.28707036138504927</v>
      </c>
      <c r="C672" s="17">
        <f t="shared" si="10"/>
        <v>45336</v>
      </c>
      <c r="D672" s="17"/>
      <c r="J672" s="2" t="s">
        <v>980</v>
      </c>
    </row>
    <row r="673" spans="1:10" x14ac:dyDescent="0.25">
      <c r="A673" s="18" t="s">
        <v>1513</v>
      </c>
      <c r="B673">
        <v>0.28711031624954431</v>
      </c>
      <c r="C673" s="17">
        <f t="shared" si="10"/>
        <v>45337</v>
      </c>
      <c r="D673" s="17"/>
      <c r="J673" s="2" t="s">
        <v>981</v>
      </c>
    </row>
    <row r="674" spans="1:10" x14ac:dyDescent="0.25">
      <c r="A674" s="18" t="s">
        <v>230</v>
      </c>
      <c r="B674">
        <v>0.28753914203933872</v>
      </c>
      <c r="C674" s="17">
        <f t="shared" si="10"/>
        <v>45338</v>
      </c>
      <c r="D674" s="17"/>
      <c r="J674" s="2" t="s">
        <v>982</v>
      </c>
    </row>
    <row r="675" spans="1:10" x14ac:dyDescent="0.25">
      <c r="A675" s="18" t="s">
        <v>223</v>
      </c>
      <c r="B675">
        <v>0.28848517293524967</v>
      </c>
      <c r="C675" s="17">
        <f t="shared" si="10"/>
        <v>45339</v>
      </c>
      <c r="D675" s="17"/>
      <c r="J675" s="2" t="s">
        <v>983</v>
      </c>
    </row>
    <row r="676" spans="1:10" x14ac:dyDescent="0.25">
      <c r="A676" s="18" t="s">
        <v>1192</v>
      </c>
      <c r="B676">
        <v>0.28867905183789355</v>
      </c>
      <c r="C676" s="17">
        <f t="shared" si="10"/>
        <v>45340</v>
      </c>
      <c r="D676" s="17"/>
      <c r="J676" s="2" t="s">
        <v>984</v>
      </c>
    </row>
    <row r="677" spans="1:10" x14ac:dyDescent="0.25">
      <c r="A677" s="18" t="s">
        <v>1883</v>
      </c>
      <c r="B677">
        <v>0.2887272069089174</v>
      </c>
      <c r="C677" s="17">
        <f t="shared" si="10"/>
        <v>45341</v>
      </c>
      <c r="D677" s="17"/>
      <c r="J677" s="2" t="s">
        <v>31</v>
      </c>
    </row>
    <row r="678" spans="1:10" x14ac:dyDescent="0.25">
      <c r="A678" s="18" t="s">
        <v>1096</v>
      </c>
      <c r="B678">
        <v>0.28887854529088719</v>
      </c>
      <c r="C678" s="17">
        <f t="shared" si="10"/>
        <v>45342</v>
      </c>
      <c r="D678" s="17"/>
      <c r="J678" s="2" t="s">
        <v>985</v>
      </c>
    </row>
    <row r="679" spans="1:10" x14ac:dyDescent="0.25">
      <c r="A679" s="18" t="s">
        <v>1231</v>
      </c>
      <c r="B679">
        <v>0.28929400291609053</v>
      </c>
      <c r="C679" s="17">
        <f t="shared" si="10"/>
        <v>45343</v>
      </c>
      <c r="D679" s="17"/>
      <c r="J679" s="2" t="s">
        <v>986</v>
      </c>
    </row>
    <row r="680" spans="1:10" x14ac:dyDescent="0.25">
      <c r="A680" s="18" t="s">
        <v>208</v>
      </c>
      <c r="B680">
        <v>0.28976962021152886</v>
      </c>
      <c r="C680" s="17">
        <f t="shared" si="10"/>
        <v>45344</v>
      </c>
      <c r="D680" s="17"/>
      <c r="J680" s="2" t="s">
        <v>987</v>
      </c>
    </row>
    <row r="681" spans="1:10" x14ac:dyDescent="0.25">
      <c r="A681" s="18" t="s">
        <v>1788</v>
      </c>
      <c r="B681">
        <v>0.28988629499404028</v>
      </c>
      <c r="C681" s="17">
        <f t="shared" si="10"/>
        <v>45345</v>
      </c>
      <c r="D681" s="17"/>
      <c r="J681" s="2" t="s">
        <v>988</v>
      </c>
    </row>
    <row r="682" spans="1:10" x14ac:dyDescent="0.25">
      <c r="A682" s="18" t="s">
        <v>25</v>
      </c>
      <c r="B682">
        <v>0.28997604539804367</v>
      </c>
      <c r="C682" s="17">
        <f t="shared" si="10"/>
        <v>45346</v>
      </c>
      <c r="D682" s="17"/>
      <c r="J682" s="2" t="s">
        <v>989</v>
      </c>
    </row>
    <row r="683" spans="1:10" x14ac:dyDescent="0.25">
      <c r="A683" s="18" t="s">
        <v>1758</v>
      </c>
      <c r="B683">
        <v>0.29112670060753709</v>
      </c>
      <c r="C683" s="17">
        <f t="shared" si="10"/>
        <v>45347</v>
      </c>
      <c r="D683" s="17"/>
      <c r="J683" s="2" t="s">
        <v>990</v>
      </c>
    </row>
    <row r="684" spans="1:10" x14ac:dyDescent="0.25">
      <c r="A684" s="18" t="s">
        <v>1906</v>
      </c>
      <c r="B684">
        <v>0.29114411099647775</v>
      </c>
      <c r="C684" s="17">
        <f t="shared" si="10"/>
        <v>45348</v>
      </c>
      <c r="D684" s="17"/>
      <c r="J684" s="2" t="s">
        <v>991</v>
      </c>
    </row>
    <row r="685" spans="1:10" x14ac:dyDescent="0.25">
      <c r="A685" s="18" t="s">
        <v>804</v>
      </c>
      <c r="B685">
        <v>0.29120040852315709</v>
      </c>
      <c r="C685" s="17">
        <f t="shared" si="10"/>
        <v>45349</v>
      </c>
      <c r="D685" s="17"/>
      <c r="J685" s="2" t="s">
        <v>123</v>
      </c>
    </row>
    <row r="686" spans="1:10" x14ac:dyDescent="0.25">
      <c r="A686" s="18" t="s">
        <v>471</v>
      </c>
      <c r="B686">
        <v>0.29144139009244119</v>
      </c>
      <c r="C686" s="17">
        <f t="shared" si="10"/>
        <v>45350</v>
      </c>
      <c r="D686" s="17"/>
      <c r="J686" s="2" t="s">
        <v>992</v>
      </c>
    </row>
    <row r="687" spans="1:10" x14ac:dyDescent="0.25">
      <c r="A687" s="18" t="s">
        <v>1237</v>
      </c>
      <c r="B687">
        <v>0.29202158034633108</v>
      </c>
      <c r="C687" s="17">
        <f t="shared" si="10"/>
        <v>45351</v>
      </c>
      <c r="D687" s="17"/>
      <c r="J687" s="2" t="s">
        <v>993</v>
      </c>
    </row>
    <row r="688" spans="1:10" x14ac:dyDescent="0.25">
      <c r="A688" s="18" t="s">
        <v>349</v>
      </c>
      <c r="B688">
        <v>0.29205779368868789</v>
      </c>
      <c r="C688" s="17">
        <f t="shared" si="10"/>
        <v>45352</v>
      </c>
      <c r="D688" s="17"/>
      <c r="J688" s="2" t="s">
        <v>233</v>
      </c>
    </row>
    <row r="689" spans="1:10" x14ac:dyDescent="0.25">
      <c r="A689" s="18" t="s">
        <v>2019</v>
      </c>
      <c r="B689">
        <v>0.29267449356506003</v>
      </c>
      <c r="C689" s="17">
        <f t="shared" si="10"/>
        <v>45353</v>
      </c>
      <c r="D689" s="17"/>
      <c r="J689" s="2" t="s">
        <v>994</v>
      </c>
    </row>
    <row r="690" spans="1:10" x14ac:dyDescent="0.25">
      <c r="A690" s="18" t="s">
        <v>1819</v>
      </c>
      <c r="B690">
        <v>0.2929503296756818</v>
      </c>
      <c r="C690" s="17">
        <f t="shared" si="10"/>
        <v>45354</v>
      </c>
      <c r="D690" s="17"/>
      <c r="J690" s="2" t="s">
        <v>444</v>
      </c>
    </row>
    <row r="691" spans="1:10" x14ac:dyDescent="0.25">
      <c r="A691" s="18" t="s">
        <v>1034</v>
      </c>
      <c r="B691">
        <v>0.29349387302888974</v>
      </c>
      <c r="C691" s="17">
        <f t="shared" si="10"/>
        <v>45355</v>
      </c>
      <c r="D691" s="17"/>
      <c r="J691" s="2" t="s">
        <v>995</v>
      </c>
    </row>
    <row r="692" spans="1:10" x14ac:dyDescent="0.25">
      <c r="A692" s="18" t="s">
        <v>853</v>
      </c>
      <c r="B692">
        <v>0.29372667475279801</v>
      </c>
      <c r="C692" s="17">
        <f t="shared" si="10"/>
        <v>45356</v>
      </c>
      <c r="D692" s="17"/>
      <c r="J692" s="2" t="s">
        <v>996</v>
      </c>
    </row>
    <row r="693" spans="1:10" x14ac:dyDescent="0.25">
      <c r="A693" s="18" t="s">
        <v>953</v>
      </c>
      <c r="B693">
        <v>0.29430829406679515</v>
      </c>
      <c r="C693" s="17">
        <f t="shared" si="10"/>
        <v>45357</v>
      </c>
      <c r="D693" s="17"/>
      <c r="J693" s="2" t="s">
        <v>997</v>
      </c>
    </row>
    <row r="694" spans="1:10" x14ac:dyDescent="0.25">
      <c r="A694" s="18" t="s">
        <v>1188</v>
      </c>
      <c r="B694">
        <v>0.29448095797606322</v>
      </c>
      <c r="C694" s="17">
        <f t="shared" si="10"/>
        <v>45358</v>
      </c>
      <c r="D694" s="17"/>
      <c r="J694" s="2" t="s">
        <v>998</v>
      </c>
    </row>
    <row r="695" spans="1:10" x14ac:dyDescent="0.25">
      <c r="A695" s="18" t="s">
        <v>1903</v>
      </c>
      <c r="B695">
        <v>0.29452102983938111</v>
      </c>
      <c r="C695" s="17">
        <f t="shared" si="10"/>
        <v>45359</v>
      </c>
      <c r="D695" s="17"/>
      <c r="J695" s="2" t="s">
        <v>465</v>
      </c>
    </row>
    <row r="696" spans="1:10" x14ac:dyDescent="0.25">
      <c r="A696" s="18" t="s">
        <v>1179</v>
      </c>
      <c r="B696">
        <v>0.29485498827841994</v>
      </c>
      <c r="C696" s="17">
        <f t="shared" si="10"/>
        <v>45360</v>
      </c>
      <c r="D696" s="17"/>
      <c r="J696" s="2" t="s">
        <v>999</v>
      </c>
    </row>
    <row r="697" spans="1:10" x14ac:dyDescent="0.25">
      <c r="A697" s="18" t="s">
        <v>1522</v>
      </c>
      <c r="B697">
        <v>0.29529606044570766</v>
      </c>
      <c r="C697" s="17">
        <f t="shared" si="10"/>
        <v>45361</v>
      </c>
      <c r="D697" s="17"/>
      <c r="J697" s="2" t="s">
        <v>1000</v>
      </c>
    </row>
    <row r="698" spans="1:10" x14ac:dyDescent="0.25">
      <c r="A698" s="18" t="s">
        <v>1259</v>
      </c>
      <c r="B698">
        <v>0.2957271552148848</v>
      </c>
      <c r="C698" s="17">
        <f t="shared" si="10"/>
        <v>45362</v>
      </c>
      <c r="D698" s="17"/>
      <c r="J698" s="2" t="s">
        <v>1001</v>
      </c>
    </row>
    <row r="699" spans="1:10" x14ac:dyDescent="0.25">
      <c r="A699" s="18" t="s">
        <v>1658</v>
      </c>
      <c r="B699">
        <v>0.2969636121834216</v>
      </c>
      <c r="C699" s="17">
        <f t="shared" si="10"/>
        <v>45363</v>
      </c>
      <c r="D699" s="17"/>
      <c r="J699" s="2" t="s">
        <v>349</v>
      </c>
    </row>
    <row r="700" spans="1:10" x14ac:dyDescent="0.25">
      <c r="A700" s="18" t="s">
        <v>1309</v>
      </c>
      <c r="B700">
        <v>0.29763801976546533</v>
      </c>
      <c r="C700" s="17">
        <f t="shared" si="10"/>
        <v>45364</v>
      </c>
      <c r="D700" s="17"/>
      <c r="J700" s="2" t="s">
        <v>1002</v>
      </c>
    </row>
    <row r="701" spans="1:10" x14ac:dyDescent="0.25">
      <c r="A701" s="18" t="s">
        <v>2067</v>
      </c>
      <c r="B701">
        <v>0.29787489700756675</v>
      </c>
      <c r="C701" s="17">
        <f t="shared" si="10"/>
        <v>45365</v>
      </c>
      <c r="D701" s="17"/>
      <c r="J701" s="2" t="s">
        <v>1003</v>
      </c>
    </row>
    <row r="702" spans="1:10" x14ac:dyDescent="0.25">
      <c r="A702" s="18" t="s">
        <v>319</v>
      </c>
      <c r="B702">
        <v>0.29806569651898918</v>
      </c>
      <c r="C702" s="17">
        <f t="shared" si="10"/>
        <v>45366</v>
      </c>
      <c r="D702" s="17"/>
      <c r="J702" s="2" t="s">
        <v>1004</v>
      </c>
    </row>
    <row r="703" spans="1:10" x14ac:dyDescent="0.25">
      <c r="A703" s="18" t="s">
        <v>12</v>
      </c>
      <c r="B703">
        <v>0.29834891659530816</v>
      </c>
      <c r="C703" s="17">
        <f t="shared" si="10"/>
        <v>45367</v>
      </c>
      <c r="D703" s="17"/>
      <c r="J703" s="2" t="s">
        <v>358</v>
      </c>
    </row>
    <row r="704" spans="1:10" x14ac:dyDescent="0.25">
      <c r="A704" s="18" t="s">
        <v>149</v>
      </c>
      <c r="B704">
        <v>0.30005733675678303</v>
      </c>
      <c r="C704" s="17">
        <f t="shared" si="10"/>
        <v>45368</v>
      </c>
      <c r="D704" s="17"/>
      <c r="J704" s="2" t="s">
        <v>378</v>
      </c>
    </row>
    <row r="705" spans="1:10" x14ac:dyDescent="0.25">
      <c r="A705" s="18" t="s">
        <v>2273</v>
      </c>
      <c r="B705">
        <v>0.30027031613728261</v>
      </c>
      <c r="C705" s="17">
        <f t="shared" si="10"/>
        <v>45369</v>
      </c>
      <c r="D705" s="17"/>
      <c r="J705" s="2" t="s">
        <v>1005</v>
      </c>
    </row>
    <row r="706" spans="1:10" x14ac:dyDescent="0.25">
      <c r="A706" s="18" t="s">
        <v>1700</v>
      </c>
      <c r="B706">
        <v>0.30047302805611642</v>
      </c>
      <c r="C706" s="17">
        <f t="shared" si="10"/>
        <v>45370</v>
      </c>
      <c r="D706" s="17"/>
      <c r="J706" s="2" t="s">
        <v>1006</v>
      </c>
    </row>
    <row r="707" spans="1:10" x14ac:dyDescent="0.25">
      <c r="A707" s="18" t="s">
        <v>87</v>
      </c>
      <c r="B707">
        <v>0.30187818611100492</v>
      </c>
      <c r="C707" s="17">
        <f t="shared" si="10"/>
        <v>45371</v>
      </c>
      <c r="D707" s="17"/>
      <c r="J707" s="2" t="s">
        <v>1007</v>
      </c>
    </row>
    <row r="708" spans="1:10" x14ac:dyDescent="0.25">
      <c r="A708" s="18" t="s">
        <v>1944</v>
      </c>
      <c r="B708">
        <v>0.30192715516025614</v>
      </c>
      <c r="C708" s="17">
        <f t="shared" ref="C708:C771" si="11">C707+1</f>
        <v>45372</v>
      </c>
      <c r="D708" s="17"/>
      <c r="J708" s="2" t="s">
        <v>1008</v>
      </c>
    </row>
    <row r="709" spans="1:10" x14ac:dyDescent="0.25">
      <c r="A709" s="18" t="s">
        <v>477</v>
      </c>
      <c r="B709">
        <v>0.30229401657705568</v>
      </c>
      <c r="C709" s="17">
        <f t="shared" si="11"/>
        <v>45373</v>
      </c>
      <c r="D709" s="17"/>
      <c r="J709" s="2" t="s">
        <v>1009</v>
      </c>
    </row>
    <row r="710" spans="1:10" x14ac:dyDescent="0.25">
      <c r="A710" s="18" t="s">
        <v>2072</v>
      </c>
      <c r="B710">
        <v>0.30257760184973592</v>
      </c>
      <c r="C710" s="17">
        <f t="shared" si="11"/>
        <v>45374</v>
      </c>
      <c r="D710" s="17"/>
      <c r="J710" s="2" t="s">
        <v>1010</v>
      </c>
    </row>
    <row r="711" spans="1:10" x14ac:dyDescent="0.25">
      <c r="A711" s="18" t="s">
        <v>1417</v>
      </c>
      <c r="B711">
        <v>0.30285180270401391</v>
      </c>
      <c r="C711" s="17">
        <f t="shared" si="11"/>
        <v>45375</v>
      </c>
      <c r="D711" s="17"/>
      <c r="J711" s="2" t="s">
        <v>1011</v>
      </c>
    </row>
    <row r="712" spans="1:10" x14ac:dyDescent="0.25">
      <c r="A712" s="18" t="s">
        <v>2017</v>
      </c>
      <c r="B712">
        <v>0.30313393700235336</v>
      </c>
      <c r="C712" s="17">
        <f t="shared" si="11"/>
        <v>45376</v>
      </c>
      <c r="D712" s="17"/>
      <c r="J712" s="2" t="s">
        <v>1012</v>
      </c>
    </row>
    <row r="713" spans="1:10" x14ac:dyDescent="0.25">
      <c r="A713" s="18" t="s">
        <v>1282</v>
      </c>
      <c r="B713">
        <v>0.30316232253810105</v>
      </c>
      <c r="C713" s="17">
        <f t="shared" si="11"/>
        <v>45377</v>
      </c>
      <c r="D713" s="17"/>
      <c r="J713" s="2" t="s">
        <v>1013</v>
      </c>
    </row>
    <row r="714" spans="1:10" x14ac:dyDescent="0.25">
      <c r="A714" s="18" t="s">
        <v>740</v>
      </c>
      <c r="B714">
        <v>0.30331615524647615</v>
      </c>
      <c r="C714" s="17">
        <f t="shared" si="11"/>
        <v>45378</v>
      </c>
      <c r="D714" s="17"/>
      <c r="J714" s="2" t="s">
        <v>1014</v>
      </c>
    </row>
    <row r="715" spans="1:10" x14ac:dyDescent="0.25">
      <c r="A715" s="18" t="s">
        <v>848</v>
      </c>
      <c r="B715">
        <v>0.30364235435223352</v>
      </c>
      <c r="C715" s="17">
        <f t="shared" si="11"/>
        <v>45379</v>
      </c>
      <c r="D715" s="17"/>
      <c r="J715" s="2" t="s">
        <v>1015</v>
      </c>
    </row>
    <row r="716" spans="1:10" x14ac:dyDescent="0.25">
      <c r="A716" s="18" t="s">
        <v>1528</v>
      </c>
      <c r="B716">
        <v>0.30456412956144541</v>
      </c>
      <c r="C716" s="17">
        <f t="shared" si="11"/>
        <v>45380</v>
      </c>
      <c r="D716" s="17"/>
      <c r="J716" s="2" t="s">
        <v>222</v>
      </c>
    </row>
    <row r="717" spans="1:10" x14ac:dyDescent="0.25">
      <c r="A717" s="18" t="s">
        <v>936</v>
      </c>
      <c r="B717">
        <v>0.304645441710094</v>
      </c>
      <c r="C717" s="17">
        <f t="shared" si="11"/>
        <v>45381</v>
      </c>
      <c r="D717" s="17"/>
      <c r="J717" s="2" t="s">
        <v>1016</v>
      </c>
    </row>
    <row r="718" spans="1:10" x14ac:dyDescent="0.25">
      <c r="A718" s="18" t="s">
        <v>479</v>
      </c>
      <c r="B718">
        <v>0.30516825976296569</v>
      </c>
      <c r="C718" s="17">
        <f t="shared" si="11"/>
        <v>45382</v>
      </c>
      <c r="D718" s="17"/>
      <c r="J718" s="2" t="s">
        <v>1017</v>
      </c>
    </row>
    <row r="719" spans="1:10" x14ac:dyDescent="0.25">
      <c r="A719" s="18" t="s">
        <v>899</v>
      </c>
      <c r="B719">
        <v>0.30601255947518136</v>
      </c>
      <c r="C719" s="17">
        <f t="shared" si="11"/>
        <v>45383</v>
      </c>
      <c r="D719" s="17"/>
      <c r="J719" s="2" t="s">
        <v>163</v>
      </c>
    </row>
    <row r="720" spans="1:10" x14ac:dyDescent="0.25">
      <c r="A720" s="18" t="s">
        <v>158</v>
      </c>
      <c r="B720">
        <v>0.30603358676956827</v>
      </c>
      <c r="C720" s="17">
        <f t="shared" si="11"/>
        <v>45384</v>
      </c>
      <c r="D720" s="17"/>
      <c r="J720" s="2" t="s">
        <v>1018</v>
      </c>
    </row>
    <row r="721" spans="1:10" x14ac:dyDescent="0.25">
      <c r="A721" s="18" t="s">
        <v>2264</v>
      </c>
      <c r="B721">
        <v>0.30660082976458991</v>
      </c>
      <c r="C721" s="17">
        <f t="shared" si="11"/>
        <v>45385</v>
      </c>
      <c r="D721" s="17"/>
      <c r="J721" s="2" t="s">
        <v>1019</v>
      </c>
    </row>
    <row r="722" spans="1:10" x14ac:dyDescent="0.25">
      <c r="A722" s="18" t="s">
        <v>1413</v>
      </c>
      <c r="B722">
        <v>0.30675602061819618</v>
      </c>
      <c r="C722" s="17">
        <f t="shared" si="11"/>
        <v>45386</v>
      </c>
      <c r="D722" s="17"/>
      <c r="J722" s="2" t="s">
        <v>1020</v>
      </c>
    </row>
    <row r="723" spans="1:10" x14ac:dyDescent="0.25">
      <c r="A723" s="18" t="s">
        <v>742</v>
      </c>
      <c r="B723">
        <v>0.30679084514522115</v>
      </c>
      <c r="C723" s="17">
        <f t="shared" si="11"/>
        <v>45387</v>
      </c>
      <c r="D723" s="17"/>
      <c r="J723" s="2" t="s">
        <v>1021</v>
      </c>
    </row>
    <row r="724" spans="1:10" x14ac:dyDescent="0.25">
      <c r="A724" s="18" t="s">
        <v>1708</v>
      </c>
      <c r="B724">
        <v>0.30702747599969005</v>
      </c>
      <c r="C724" s="17">
        <f t="shared" si="11"/>
        <v>45388</v>
      </c>
      <c r="D724" s="17"/>
      <c r="J724" s="2" t="s">
        <v>252</v>
      </c>
    </row>
    <row r="725" spans="1:10" x14ac:dyDescent="0.25">
      <c r="A725" s="18" t="s">
        <v>70</v>
      </c>
      <c r="B725">
        <v>0.3071037483237784</v>
      </c>
      <c r="C725" s="17">
        <f t="shared" si="11"/>
        <v>45389</v>
      </c>
      <c r="D725" s="17"/>
      <c r="J725" s="2" t="s">
        <v>190</v>
      </c>
    </row>
    <row r="726" spans="1:10" x14ac:dyDescent="0.25">
      <c r="A726" s="18" t="s">
        <v>1109</v>
      </c>
      <c r="B726">
        <v>0.30768379621436215</v>
      </c>
      <c r="C726" s="17">
        <f t="shared" si="11"/>
        <v>45390</v>
      </c>
      <c r="D726" s="17"/>
      <c r="J726" s="2" t="s">
        <v>1022</v>
      </c>
    </row>
    <row r="727" spans="1:10" x14ac:dyDescent="0.25">
      <c r="A727" s="18" t="s">
        <v>274</v>
      </c>
      <c r="B727">
        <v>0.30793923623752939</v>
      </c>
      <c r="C727" s="17">
        <f t="shared" si="11"/>
        <v>45391</v>
      </c>
      <c r="D727" s="17"/>
      <c r="J727" s="2" t="s">
        <v>1023</v>
      </c>
    </row>
    <row r="728" spans="1:10" x14ac:dyDescent="0.25">
      <c r="A728" s="18" t="s">
        <v>92</v>
      </c>
      <c r="B728">
        <v>0.30831558961738037</v>
      </c>
      <c r="C728" s="17">
        <f t="shared" si="11"/>
        <v>45392</v>
      </c>
      <c r="D728" s="17"/>
      <c r="J728" s="2" t="s">
        <v>1024</v>
      </c>
    </row>
    <row r="729" spans="1:10" x14ac:dyDescent="0.25">
      <c r="A729" s="18" t="s">
        <v>2312</v>
      </c>
      <c r="B729">
        <v>0.30842761942178143</v>
      </c>
      <c r="C729" s="17">
        <f t="shared" si="11"/>
        <v>45393</v>
      </c>
      <c r="D729" s="17"/>
      <c r="J729" s="2" t="s">
        <v>1025</v>
      </c>
    </row>
    <row r="730" spans="1:10" x14ac:dyDescent="0.25">
      <c r="A730" s="18" t="s">
        <v>418</v>
      </c>
      <c r="B730">
        <v>0.30944477039506502</v>
      </c>
      <c r="C730" s="17">
        <f t="shared" si="11"/>
        <v>45394</v>
      </c>
      <c r="D730" s="17"/>
      <c r="J730" s="2" t="s">
        <v>0</v>
      </c>
    </row>
    <row r="731" spans="1:10" x14ac:dyDescent="0.25">
      <c r="A731" s="18" t="s">
        <v>1459</v>
      </c>
      <c r="B731">
        <v>0.30947312801340288</v>
      </c>
      <c r="C731" s="17">
        <f t="shared" si="11"/>
        <v>45395</v>
      </c>
      <c r="D731" s="17"/>
      <c r="J731" s="2" t="s">
        <v>1026</v>
      </c>
    </row>
    <row r="732" spans="1:10" x14ac:dyDescent="0.25">
      <c r="A732" s="18" t="s">
        <v>851</v>
      </c>
      <c r="B732">
        <v>0.30948166748131267</v>
      </c>
      <c r="C732" s="17">
        <f t="shared" si="11"/>
        <v>45396</v>
      </c>
      <c r="D732" s="17"/>
      <c r="J732" s="2" t="s">
        <v>1027</v>
      </c>
    </row>
    <row r="733" spans="1:10" x14ac:dyDescent="0.25">
      <c r="A733" s="18" t="s">
        <v>1364</v>
      </c>
      <c r="B733">
        <v>0.30971000417995143</v>
      </c>
      <c r="C733" s="17">
        <f t="shared" si="11"/>
        <v>45397</v>
      </c>
      <c r="D733" s="17"/>
      <c r="J733" s="2" t="s">
        <v>1028</v>
      </c>
    </row>
    <row r="734" spans="1:10" x14ac:dyDescent="0.25">
      <c r="A734" s="18" t="s">
        <v>663</v>
      </c>
      <c r="B734">
        <v>0.31009821256244974</v>
      </c>
      <c r="C734" s="17">
        <f t="shared" si="11"/>
        <v>45398</v>
      </c>
      <c r="D734" s="17"/>
      <c r="J734" s="2" t="s">
        <v>1029</v>
      </c>
    </row>
    <row r="735" spans="1:10" x14ac:dyDescent="0.25">
      <c r="A735" s="18" t="s">
        <v>2068</v>
      </c>
      <c r="B735">
        <v>0.31040635815771545</v>
      </c>
      <c r="C735" s="17">
        <f t="shared" si="11"/>
        <v>45399</v>
      </c>
      <c r="D735" s="17"/>
      <c r="J735" s="2" t="s">
        <v>1030</v>
      </c>
    </row>
    <row r="736" spans="1:10" x14ac:dyDescent="0.25">
      <c r="A736" s="18" t="s">
        <v>1129</v>
      </c>
      <c r="B736">
        <v>0.31066441652246668</v>
      </c>
      <c r="C736" s="17">
        <f t="shared" si="11"/>
        <v>45400</v>
      </c>
      <c r="D736" s="17"/>
      <c r="J736" s="2" t="s">
        <v>1031</v>
      </c>
    </row>
    <row r="737" spans="1:10" x14ac:dyDescent="0.25">
      <c r="A737" s="18" t="s">
        <v>1931</v>
      </c>
      <c r="B737">
        <v>0.31074159499212384</v>
      </c>
      <c r="C737" s="17">
        <f t="shared" si="11"/>
        <v>45401</v>
      </c>
      <c r="D737" s="17"/>
      <c r="J737" s="2" t="s">
        <v>1032</v>
      </c>
    </row>
    <row r="738" spans="1:10" x14ac:dyDescent="0.25">
      <c r="A738" s="18" t="s">
        <v>1058</v>
      </c>
      <c r="B738">
        <v>0.31115801225811968</v>
      </c>
      <c r="C738" s="17">
        <f t="shared" si="11"/>
        <v>45402</v>
      </c>
      <c r="D738" s="17"/>
      <c r="J738" s="2" t="s">
        <v>1033</v>
      </c>
    </row>
    <row r="739" spans="1:10" x14ac:dyDescent="0.25">
      <c r="A739" s="18" t="s">
        <v>923</v>
      </c>
      <c r="B739">
        <v>0.3112706340903777</v>
      </c>
      <c r="C739" s="17">
        <f t="shared" si="11"/>
        <v>45403</v>
      </c>
      <c r="D739" s="17"/>
      <c r="J739" s="2" t="s">
        <v>1034</v>
      </c>
    </row>
    <row r="740" spans="1:10" x14ac:dyDescent="0.25">
      <c r="A740" s="18" t="s">
        <v>318</v>
      </c>
      <c r="B740">
        <v>0.31199980229609658</v>
      </c>
      <c r="C740" s="17">
        <f t="shared" si="11"/>
        <v>45404</v>
      </c>
      <c r="D740" s="17"/>
      <c r="J740" s="2" t="s">
        <v>1035</v>
      </c>
    </row>
    <row r="741" spans="1:10" x14ac:dyDescent="0.25">
      <c r="A741" s="18" t="s">
        <v>1105</v>
      </c>
      <c r="B741">
        <v>0.31216058476282227</v>
      </c>
      <c r="C741" s="17">
        <f t="shared" si="11"/>
        <v>45405</v>
      </c>
      <c r="D741" s="17"/>
      <c r="J741" s="2" t="s">
        <v>103</v>
      </c>
    </row>
    <row r="742" spans="1:10" x14ac:dyDescent="0.25">
      <c r="A742" s="18" t="s">
        <v>841</v>
      </c>
      <c r="B742">
        <v>0.31219084721279078</v>
      </c>
      <c r="C742" s="17">
        <f t="shared" si="11"/>
        <v>45406</v>
      </c>
      <c r="D742" s="17"/>
      <c r="J742" s="2" t="s">
        <v>1036</v>
      </c>
    </row>
    <row r="743" spans="1:10" x14ac:dyDescent="0.25">
      <c r="A743" s="18" t="s">
        <v>940</v>
      </c>
      <c r="B743">
        <v>0.31230730142030183</v>
      </c>
      <c r="C743" s="17">
        <f t="shared" si="11"/>
        <v>45407</v>
      </c>
      <c r="D743" s="17"/>
      <c r="J743" s="2" t="s">
        <v>1037</v>
      </c>
    </row>
    <row r="744" spans="1:10" x14ac:dyDescent="0.25">
      <c r="A744" s="18" t="s">
        <v>1810</v>
      </c>
      <c r="B744">
        <v>0.31411484167747306</v>
      </c>
      <c r="C744" s="17">
        <f t="shared" si="11"/>
        <v>45408</v>
      </c>
      <c r="D744" s="17"/>
      <c r="J744" s="2" t="s">
        <v>1038</v>
      </c>
    </row>
    <row r="745" spans="1:10" x14ac:dyDescent="0.25">
      <c r="A745" s="18" t="s">
        <v>1529</v>
      </c>
      <c r="B745">
        <v>0.31518099597269189</v>
      </c>
      <c r="C745" s="17">
        <f t="shared" si="11"/>
        <v>45409</v>
      </c>
      <c r="D745" s="17"/>
      <c r="J745" s="2" t="s">
        <v>1039</v>
      </c>
    </row>
    <row r="746" spans="1:10" x14ac:dyDescent="0.25">
      <c r="A746" s="18" t="s">
        <v>451</v>
      </c>
      <c r="B746">
        <v>0.31596838344544309</v>
      </c>
      <c r="C746" s="17">
        <f t="shared" si="11"/>
        <v>45410</v>
      </c>
      <c r="D746" s="17"/>
      <c r="J746" s="2" t="s">
        <v>276</v>
      </c>
    </row>
    <row r="747" spans="1:10" x14ac:dyDescent="0.25">
      <c r="A747" s="18" t="s">
        <v>75</v>
      </c>
      <c r="B747">
        <v>0.31605445222239392</v>
      </c>
      <c r="C747" s="17">
        <f t="shared" si="11"/>
        <v>45411</v>
      </c>
      <c r="D747" s="17"/>
      <c r="J747" s="2" t="s">
        <v>1040</v>
      </c>
    </row>
    <row r="748" spans="1:10" x14ac:dyDescent="0.25">
      <c r="A748" s="18" t="s">
        <v>2011</v>
      </c>
      <c r="B748">
        <v>0.31684558418744946</v>
      </c>
      <c r="C748" s="17">
        <f t="shared" si="11"/>
        <v>45412</v>
      </c>
      <c r="D748" s="17"/>
      <c r="J748" s="2" t="s">
        <v>1041</v>
      </c>
    </row>
    <row r="749" spans="1:10" x14ac:dyDescent="0.25">
      <c r="A749" s="18" t="s">
        <v>448</v>
      </c>
      <c r="B749">
        <v>0.31699984523310509</v>
      </c>
      <c r="C749" s="17">
        <f t="shared" si="11"/>
        <v>45413</v>
      </c>
      <c r="D749" s="17"/>
      <c r="J749" s="2" t="s">
        <v>1042</v>
      </c>
    </row>
    <row r="750" spans="1:10" x14ac:dyDescent="0.25">
      <c r="A750" s="18" t="s">
        <v>1584</v>
      </c>
      <c r="B750">
        <v>0.31706645927459376</v>
      </c>
      <c r="C750" s="17">
        <f t="shared" si="11"/>
        <v>45414</v>
      </c>
      <c r="D750" s="17"/>
      <c r="J750" s="2" t="s">
        <v>196</v>
      </c>
    </row>
    <row r="751" spans="1:10" x14ac:dyDescent="0.25">
      <c r="A751" s="18" t="s">
        <v>197</v>
      </c>
      <c r="B751">
        <v>0.31707099010768258</v>
      </c>
      <c r="C751" s="17">
        <f t="shared" si="11"/>
        <v>45415</v>
      </c>
      <c r="D751" s="17"/>
      <c r="J751" s="2" t="s">
        <v>1043</v>
      </c>
    </row>
    <row r="752" spans="1:10" x14ac:dyDescent="0.25">
      <c r="A752" s="18" t="s">
        <v>395</v>
      </c>
      <c r="B752">
        <v>0.31784376487647392</v>
      </c>
      <c r="C752" s="17">
        <f t="shared" si="11"/>
        <v>45416</v>
      </c>
      <c r="D752" s="17"/>
      <c r="J752" s="2" t="s">
        <v>1044</v>
      </c>
    </row>
    <row r="753" spans="1:10" x14ac:dyDescent="0.25">
      <c r="A753" s="18" t="s">
        <v>1668</v>
      </c>
      <c r="B753">
        <v>0.31825495674137916</v>
      </c>
      <c r="C753" s="17">
        <f t="shared" si="11"/>
        <v>45417</v>
      </c>
      <c r="D753" s="17"/>
      <c r="J753" s="2" t="s">
        <v>1045</v>
      </c>
    </row>
    <row r="754" spans="1:10" x14ac:dyDescent="0.25">
      <c r="A754" s="18" t="s">
        <v>2142</v>
      </c>
      <c r="B754">
        <v>0.31951233857659589</v>
      </c>
      <c r="C754" s="17">
        <f t="shared" si="11"/>
        <v>45418</v>
      </c>
      <c r="D754" s="17"/>
      <c r="J754" s="2" t="s">
        <v>1046</v>
      </c>
    </row>
    <row r="755" spans="1:10" x14ac:dyDescent="0.25">
      <c r="A755" s="18" t="s">
        <v>1029</v>
      </c>
      <c r="B755">
        <v>0.31951612813784425</v>
      </c>
      <c r="C755" s="17">
        <f t="shared" si="11"/>
        <v>45419</v>
      </c>
      <c r="D755" s="17"/>
      <c r="J755" s="2" t="s">
        <v>1047</v>
      </c>
    </row>
    <row r="756" spans="1:10" x14ac:dyDescent="0.25">
      <c r="A756" s="18" t="s">
        <v>1731</v>
      </c>
      <c r="B756">
        <v>0.32022160796446275</v>
      </c>
      <c r="C756" s="17">
        <f t="shared" si="11"/>
        <v>45420</v>
      </c>
      <c r="D756" s="17"/>
      <c r="J756" s="2" t="s">
        <v>1048</v>
      </c>
    </row>
    <row r="757" spans="1:10" x14ac:dyDescent="0.25">
      <c r="A757" s="18" t="s">
        <v>945</v>
      </c>
      <c r="B757">
        <v>0.32038493395648571</v>
      </c>
      <c r="C757" s="17">
        <f t="shared" si="11"/>
        <v>45421</v>
      </c>
      <c r="D757" s="17"/>
      <c r="J757" s="2" t="s">
        <v>368</v>
      </c>
    </row>
    <row r="758" spans="1:10" x14ac:dyDescent="0.25">
      <c r="A758" s="18" t="s">
        <v>452</v>
      </c>
      <c r="B758">
        <v>0.32145292898986921</v>
      </c>
      <c r="C758" s="17">
        <f t="shared" si="11"/>
        <v>45422</v>
      </c>
      <c r="D758" s="17"/>
      <c r="J758" s="2" t="s">
        <v>1049</v>
      </c>
    </row>
    <row r="759" spans="1:10" x14ac:dyDescent="0.25">
      <c r="A759" s="18" t="s">
        <v>600</v>
      </c>
      <c r="B759">
        <v>0.3216539756073955</v>
      </c>
      <c r="C759" s="17">
        <f t="shared" si="11"/>
        <v>45423</v>
      </c>
      <c r="D759" s="17"/>
      <c r="J759" s="2" t="s">
        <v>245</v>
      </c>
    </row>
    <row r="760" spans="1:10" x14ac:dyDescent="0.25">
      <c r="A760" s="18" t="s">
        <v>779</v>
      </c>
      <c r="B760">
        <v>0.32170099618839931</v>
      </c>
      <c r="C760" s="17">
        <f t="shared" si="11"/>
        <v>45424</v>
      </c>
      <c r="D760" s="17"/>
      <c r="J760" s="2" t="s">
        <v>1050</v>
      </c>
    </row>
    <row r="761" spans="1:10" x14ac:dyDescent="0.25">
      <c r="A761" s="18" t="s">
        <v>951</v>
      </c>
      <c r="B761">
        <v>0.32265608589851158</v>
      </c>
      <c r="C761" s="17">
        <f t="shared" si="11"/>
        <v>45425</v>
      </c>
      <c r="D761" s="17"/>
      <c r="J761" s="2" t="s">
        <v>1051</v>
      </c>
    </row>
    <row r="762" spans="1:10" x14ac:dyDescent="0.25">
      <c r="A762" s="18" t="s">
        <v>1719</v>
      </c>
      <c r="B762">
        <v>0.32280236283777108</v>
      </c>
      <c r="C762" s="17">
        <f t="shared" si="11"/>
        <v>45426</v>
      </c>
      <c r="D762" s="17"/>
      <c r="J762" s="2" t="s">
        <v>1052</v>
      </c>
    </row>
    <row r="763" spans="1:10" x14ac:dyDescent="0.25">
      <c r="A763" s="18" t="s">
        <v>1941</v>
      </c>
      <c r="B763">
        <v>0.32309342265258767</v>
      </c>
      <c r="C763" s="17">
        <f t="shared" si="11"/>
        <v>45427</v>
      </c>
      <c r="D763" s="17"/>
      <c r="J763" s="2" t="s">
        <v>81</v>
      </c>
    </row>
    <row r="764" spans="1:10" x14ac:dyDescent="0.25">
      <c r="A764" s="18" t="s">
        <v>211</v>
      </c>
      <c r="B764">
        <v>0.3239910610932657</v>
      </c>
      <c r="C764" s="17">
        <f t="shared" si="11"/>
        <v>45428</v>
      </c>
      <c r="D764" s="17"/>
      <c r="J764" s="2" t="s">
        <v>1053</v>
      </c>
    </row>
    <row r="765" spans="1:10" x14ac:dyDescent="0.25">
      <c r="A765" s="18" t="s">
        <v>514</v>
      </c>
      <c r="B765">
        <v>0.3243072733902479</v>
      </c>
      <c r="C765" s="17">
        <f t="shared" si="11"/>
        <v>45429</v>
      </c>
      <c r="D765" s="17"/>
      <c r="J765" s="2" t="s">
        <v>1054</v>
      </c>
    </row>
    <row r="766" spans="1:10" x14ac:dyDescent="0.25">
      <c r="A766" s="18" t="s">
        <v>84</v>
      </c>
      <c r="B766">
        <v>0.32460062109088872</v>
      </c>
      <c r="C766" s="17">
        <f t="shared" si="11"/>
        <v>45430</v>
      </c>
      <c r="D766" s="17"/>
      <c r="J766" s="2" t="s">
        <v>1055</v>
      </c>
    </row>
    <row r="767" spans="1:10" x14ac:dyDescent="0.25">
      <c r="A767" s="18" t="s">
        <v>425</v>
      </c>
      <c r="B767">
        <v>0.32473704034771489</v>
      </c>
      <c r="C767" s="17">
        <f t="shared" si="11"/>
        <v>45431</v>
      </c>
      <c r="D767" s="17"/>
      <c r="J767" s="2" t="s">
        <v>1056</v>
      </c>
    </row>
    <row r="768" spans="1:10" x14ac:dyDescent="0.25">
      <c r="A768" s="18" t="s">
        <v>2046</v>
      </c>
      <c r="B768">
        <v>0.32543438341366848</v>
      </c>
      <c r="C768" s="17">
        <f t="shared" si="11"/>
        <v>45432</v>
      </c>
      <c r="D768" s="17"/>
      <c r="J768" s="2" t="s">
        <v>1057</v>
      </c>
    </row>
    <row r="769" spans="1:10" x14ac:dyDescent="0.25">
      <c r="A769" s="18" t="s">
        <v>249</v>
      </c>
      <c r="B769">
        <v>0.32550655643790427</v>
      </c>
      <c r="C769" s="17">
        <f t="shared" si="11"/>
        <v>45433</v>
      </c>
      <c r="D769" s="17"/>
      <c r="J769" s="2" t="s">
        <v>1058</v>
      </c>
    </row>
    <row r="770" spans="1:10" x14ac:dyDescent="0.25">
      <c r="A770" s="18" t="s">
        <v>2007</v>
      </c>
      <c r="B770">
        <v>0.32603442332283383</v>
      </c>
      <c r="C770" s="17">
        <f t="shared" si="11"/>
        <v>45434</v>
      </c>
      <c r="D770" s="17"/>
      <c r="J770" s="2" t="s">
        <v>1059</v>
      </c>
    </row>
    <row r="771" spans="1:10" x14ac:dyDescent="0.25">
      <c r="A771" s="18" t="s">
        <v>1611</v>
      </c>
      <c r="B771">
        <v>0.32612154330170628</v>
      </c>
      <c r="C771" s="17">
        <f t="shared" si="11"/>
        <v>45435</v>
      </c>
      <c r="D771" s="17"/>
      <c r="J771" s="2" t="s">
        <v>1060</v>
      </c>
    </row>
    <row r="772" spans="1:10" x14ac:dyDescent="0.25">
      <c r="A772" s="18" t="s">
        <v>1767</v>
      </c>
      <c r="B772">
        <v>0.32648399140259854</v>
      </c>
      <c r="C772" s="17">
        <f t="shared" ref="C772:C835" si="12">C771+1</f>
        <v>45436</v>
      </c>
      <c r="D772" s="17"/>
      <c r="J772" s="2" t="s">
        <v>1061</v>
      </c>
    </row>
    <row r="773" spans="1:10" x14ac:dyDescent="0.25">
      <c r="A773" s="18" t="s">
        <v>507</v>
      </c>
      <c r="B773">
        <v>0.32654648296234046</v>
      </c>
      <c r="C773" s="17">
        <f t="shared" si="12"/>
        <v>45437</v>
      </c>
      <c r="D773" s="17"/>
      <c r="J773" s="2" t="s">
        <v>1062</v>
      </c>
    </row>
    <row r="774" spans="1:10" x14ac:dyDescent="0.25">
      <c r="A774" s="18" t="s">
        <v>1161</v>
      </c>
      <c r="B774">
        <v>0.32729626951945534</v>
      </c>
      <c r="C774" s="17">
        <f t="shared" si="12"/>
        <v>45438</v>
      </c>
      <c r="D774" s="17"/>
      <c r="J774" s="2" t="s">
        <v>1063</v>
      </c>
    </row>
    <row r="775" spans="1:10" x14ac:dyDescent="0.25">
      <c r="A775" s="18" t="s">
        <v>124</v>
      </c>
      <c r="B775">
        <v>0.32802040970619684</v>
      </c>
      <c r="C775" s="17">
        <f t="shared" si="12"/>
        <v>45439</v>
      </c>
      <c r="D775" s="17"/>
      <c r="J775" s="2" t="s">
        <v>1064</v>
      </c>
    </row>
    <row r="776" spans="1:10" x14ac:dyDescent="0.25">
      <c r="A776" s="18" t="s">
        <v>1461</v>
      </c>
      <c r="B776">
        <v>0.32847297029727696</v>
      </c>
      <c r="C776" s="17">
        <f t="shared" si="12"/>
        <v>45440</v>
      </c>
      <c r="D776" s="17"/>
      <c r="J776" s="2" t="s">
        <v>397</v>
      </c>
    </row>
    <row r="777" spans="1:10" x14ac:dyDescent="0.25">
      <c r="A777" s="18" t="s">
        <v>1362</v>
      </c>
      <c r="B777">
        <v>0.32852456807211861</v>
      </c>
      <c r="C777" s="17">
        <f t="shared" si="12"/>
        <v>45441</v>
      </c>
      <c r="D777" s="17"/>
      <c r="J777" s="2" t="s">
        <v>1065</v>
      </c>
    </row>
    <row r="778" spans="1:10" x14ac:dyDescent="0.25">
      <c r="A778" s="18" t="s">
        <v>1789</v>
      </c>
      <c r="B778">
        <v>0.32857706054209979</v>
      </c>
      <c r="C778" s="17">
        <f t="shared" si="12"/>
        <v>45442</v>
      </c>
      <c r="D778" s="17"/>
      <c r="J778" s="2" t="s">
        <v>1066</v>
      </c>
    </row>
    <row r="779" spans="1:10" x14ac:dyDescent="0.25">
      <c r="A779" s="18" t="s">
        <v>1951</v>
      </c>
      <c r="B779">
        <v>0.32904246541167659</v>
      </c>
      <c r="C779" s="17">
        <f t="shared" si="12"/>
        <v>45443</v>
      </c>
      <c r="D779" s="17"/>
      <c r="J779" s="2" t="s">
        <v>142</v>
      </c>
    </row>
    <row r="780" spans="1:10" x14ac:dyDescent="0.25">
      <c r="A780" s="18" t="s">
        <v>2146</v>
      </c>
      <c r="B780">
        <v>0.32919772340771136</v>
      </c>
      <c r="C780" s="17">
        <f t="shared" si="12"/>
        <v>45444</v>
      </c>
      <c r="D780" s="17"/>
      <c r="J780" s="2" t="s">
        <v>1067</v>
      </c>
    </row>
    <row r="781" spans="1:10" x14ac:dyDescent="0.25">
      <c r="A781" s="18" t="s">
        <v>400</v>
      </c>
      <c r="B781">
        <v>0.32942787174804034</v>
      </c>
      <c r="C781" s="17">
        <f t="shared" si="12"/>
        <v>45445</v>
      </c>
      <c r="D781" s="17"/>
      <c r="J781" s="2" t="s">
        <v>1068</v>
      </c>
    </row>
    <row r="782" spans="1:10" x14ac:dyDescent="0.25">
      <c r="A782" s="18" t="s">
        <v>964</v>
      </c>
      <c r="B782">
        <v>0.32958722777578509</v>
      </c>
      <c r="C782" s="17">
        <f t="shared" si="12"/>
        <v>45446</v>
      </c>
      <c r="D782" s="17"/>
      <c r="J782" s="2" t="s">
        <v>1069</v>
      </c>
    </row>
    <row r="783" spans="1:10" x14ac:dyDescent="0.25">
      <c r="A783" s="18" t="s">
        <v>210</v>
      </c>
      <c r="B783">
        <v>0.32959952801790804</v>
      </c>
      <c r="C783" s="17">
        <f t="shared" si="12"/>
        <v>45447</v>
      </c>
      <c r="D783" s="17"/>
      <c r="J783" s="2" t="s">
        <v>419</v>
      </c>
    </row>
    <row r="784" spans="1:10" x14ac:dyDescent="0.25">
      <c r="A784" s="18" t="s">
        <v>2218</v>
      </c>
      <c r="B784">
        <v>0.33044821115371159</v>
      </c>
      <c r="C784" s="17">
        <f t="shared" si="12"/>
        <v>45448</v>
      </c>
      <c r="D784" s="17"/>
      <c r="J784" s="2" t="s">
        <v>1070</v>
      </c>
    </row>
    <row r="785" spans="1:10" x14ac:dyDescent="0.25">
      <c r="A785" s="18" t="s">
        <v>595</v>
      </c>
      <c r="B785">
        <v>0.33053055462522507</v>
      </c>
      <c r="C785" s="17">
        <f t="shared" si="12"/>
        <v>45449</v>
      </c>
      <c r="D785" s="17"/>
      <c r="J785" s="2" t="s">
        <v>1071</v>
      </c>
    </row>
    <row r="786" spans="1:10" x14ac:dyDescent="0.25">
      <c r="A786" s="18" t="s">
        <v>1090</v>
      </c>
      <c r="B786">
        <v>0.33069537916052472</v>
      </c>
      <c r="C786" s="17">
        <f t="shared" si="12"/>
        <v>45450</v>
      </c>
      <c r="D786" s="17"/>
      <c r="J786" s="2" t="s">
        <v>1072</v>
      </c>
    </row>
    <row r="787" spans="1:10" x14ac:dyDescent="0.25">
      <c r="A787" s="18" t="s">
        <v>1210</v>
      </c>
      <c r="B787">
        <v>0.33078135847044476</v>
      </c>
      <c r="C787" s="17">
        <f t="shared" si="12"/>
        <v>45451</v>
      </c>
      <c r="D787" s="17"/>
      <c r="J787" s="2" t="s">
        <v>1073</v>
      </c>
    </row>
    <row r="788" spans="1:10" x14ac:dyDescent="0.25">
      <c r="A788" s="18" t="s">
        <v>2148</v>
      </c>
      <c r="B788">
        <v>0.33111422130352131</v>
      </c>
      <c r="C788" s="17">
        <f t="shared" si="12"/>
        <v>45452</v>
      </c>
      <c r="D788" s="17"/>
      <c r="J788" s="2" t="s">
        <v>1074</v>
      </c>
    </row>
    <row r="789" spans="1:10" x14ac:dyDescent="0.25">
      <c r="A789" s="18" t="s">
        <v>947</v>
      </c>
      <c r="B789">
        <v>0.3312807387602823</v>
      </c>
      <c r="C789" s="17">
        <f t="shared" si="12"/>
        <v>45453</v>
      </c>
      <c r="D789" s="17"/>
      <c r="J789" s="2" t="s">
        <v>1075</v>
      </c>
    </row>
    <row r="790" spans="1:10" x14ac:dyDescent="0.25">
      <c r="A790" s="18" t="s">
        <v>1779</v>
      </c>
      <c r="B790">
        <v>0.33245080031963037</v>
      </c>
      <c r="C790" s="17">
        <f t="shared" si="12"/>
        <v>45454</v>
      </c>
      <c r="D790" s="17"/>
      <c r="J790" s="2" t="s">
        <v>1076</v>
      </c>
    </row>
    <row r="791" spans="1:10" x14ac:dyDescent="0.25">
      <c r="A791" s="18" t="s">
        <v>2205</v>
      </c>
      <c r="B791">
        <v>0.3325638205797965</v>
      </c>
      <c r="C791" s="17">
        <f t="shared" si="12"/>
        <v>45455</v>
      </c>
      <c r="D791" s="17"/>
      <c r="J791" s="2" t="s">
        <v>1077</v>
      </c>
    </row>
    <row r="792" spans="1:10" x14ac:dyDescent="0.25">
      <c r="A792" s="18" t="s">
        <v>288</v>
      </c>
      <c r="B792">
        <v>0.33295481173786245</v>
      </c>
      <c r="C792" s="17">
        <f t="shared" si="12"/>
        <v>45456</v>
      </c>
      <c r="D792" s="17"/>
      <c r="J792" s="2" t="s">
        <v>1078</v>
      </c>
    </row>
    <row r="793" spans="1:10" x14ac:dyDescent="0.25">
      <c r="A793" s="18" t="s">
        <v>992</v>
      </c>
      <c r="B793">
        <v>0.33315702856667861</v>
      </c>
      <c r="C793" s="17">
        <f t="shared" si="12"/>
        <v>45457</v>
      </c>
      <c r="D793" s="17"/>
      <c r="J793" s="2" t="s">
        <v>1079</v>
      </c>
    </row>
    <row r="794" spans="1:10" x14ac:dyDescent="0.25">
      <c r="A794" s="18" t="s">
        <v>521</v>
      </c>
      <c r="B794">
        <v>0.33326120390469915</v>
      </c>
      <c r="C794" s="17">
        <f t="shared" si="12"/>
        <v>45458</v>
      </c>
      <c r="D794" s="17"/>
      <c r="J794" s="2" t="s">
        <v>1080</v>
      </c>
    </row>
    <row r="795" spans="1:10" x14ac:dyDescent="0.25">
      <c r="A795" s="18" t="s">
        <v>1870</v>
      </c>
      <c r="B795">
        <v>0.33338516185551859</v>
      </c>
      <c r="C795" s="17">
        <f t="shared" si="12"/>
        <v>45459</v>
      </c>
      <c r="D795" s="17"/>
      <c r="J795" s="2" t="s">
        <v>1081</v>
      </c>
    </row>
    <row r="796" spans="1:10" x14ac:dyDescent="0.25">
      <c r="A796" s="18" t="s">
        <v>1573</v>
      </c>
      <c r="B796">
        <v>0.33397679092681376</v>
      </c>
      <c r="C796" s="17">
        <f t="shared" si="12"/>
        <v>45460</v>
      </c>
      <c r="D796" s="17"/>
      <c r="J796" s="2" t="s">
        <v>1082</v>
      </c>
    </row>
    <row r="797" spans="1:10" x14ac:dyDescent="0.25">
      <c r="A797" s="18" t="s">
        <v>1534</v>
      </c>
      <c r="B797">
        <v>0.33498301405128261</v>
      </c>
      <c r="C797" s="17">
        <f t="shared" si="12"/>
        <v>45461</v>
      </c>
      <c r="D797" s="17"/>
      <c r="J797" s="2" t="s">
        <v>1083</v>
      </c>
    </row>
    <row r="798" spans="1:10" x14ac:dyDescent="0.25">
      <c r="A798" s="18" t="s">
        <v>1368</v>
      </c>
      <c r="B798">
        <v>0.33530126965553342</v>
      </c>
      <c r="C798" s="17">
        <f t="shared" si="12"/>
        <v>45462</v>
      </c>
      <c r="D798" s="17"/>
      <c r="J798" s="2" t="s">
        <v>1084</v>
      </c>
    </row>
    <row r="799" spans="1:10" x14ac:dyDescent="0.25">
      <c r="A799" s="18" t="s">
        <v>1776</v>
      </c>
      <c r="B799">
        <v>0.33536116652584691</v>
      </c>
      <c r="C799" s="17">
        <f t="shared" si="12"/>
        <v>45463</v>
      </c>
      <c r="D799" s="17"/>
      <c r="J799" s="2" t="s">
        <v>1085</v>
      </c>
    </row>
    <row r="800" spans="1:10" x14ac:dyDescent="0.25">
      <c r="A800" s="18" t="s">
        <v>1236</v>
      </c>
      <c r="B800">
        <v>0.3366764117204496</v>
      </c>
      <c r="C800" s="17">
        <f t="shared" si="12"/>
        <v>45464</v>
      </c>
      <c r="D800" s="17"/>
      <c r="J800" s="2" t="s">
        <v>1086</v>
      </c>
    </row>
    <row r="801" spans="1:10" x14ac:dyDescent="0.25">
      <c r="A801" s="18" t="s">
        <v>1642</v>
      </c>
      <c r="B801">
        <v>0.3370081438621616</v>
      </c>
      <c r="C801" s="17">
        <f t="shared" si="12"/>
        <v>45465</v>
      </c>
      <c r="D801" s="17"/>
      <c r="J801" s="2" t="s">
        <v>1087</v>
      </c>
    </row>
    <row r="802" spans="1:10" x14ac:dyDescent="0.25">
      <c r="A802" s="18" t="s">
        <v>1911</v>
      </c>
      <c r="B802">
        <v>0.33804661281552228</v>
      </c>
      <c r="C802" s="17">
        <f t="shared" si="12"/>
        <v>45466</v>
      </c>
      <c r="D802" s="17"/>
      <c r="J802" s="2" t="s">
        <v>1088</v>
      </c>
    </row>
    <row r="803" spans="1:10" x14ac:dyDescent="0.25">
      <c r="A803" s="18" t="s">
        <v>799</v>
      </c>
      <c r="B803">
        <v>0.33884477402313773</v>
      </c>
      <c r="C803" s="17">
        <f t="shared" si="12"/>
        <v>45467</v>
      </c>
      <c r="D803" s="17"/>
      <c r="J803" s="2" t="s">
        <v>1089</v>
      </c>
    </row>
    <row r="804" spans="1:10" x14ac:dyDescent="0.25">
      <c r="A804" s="18" t="s">
        <v>1160</v>
      </c>
      <c r="B804">
        <v>0.33912073355452554</v>
      </c>
      <c r="C804" s="17">
        <f t="shared" si="12"/>
        <v>45468</v>
      </c>
      <c r="D804" s="17"/>
      <c r="J804" s="2" t="s">
        <v>1090</v>
      </c>
    </row>
    <row r="805" spans="1:10" x14ac:dyDescent="0.25">
      <c r="A805" s="18" t="s">
        <v>968</v>
      </c>
      <c r="B805">
        <v>0.33937480839179412</v>
      </c>
      <c r="C805" s="17">
        <f t="shared" si="12"/>
        <v>45469</v>
      </c>
      <c r="D805" s="17"/>
      <c r="J805" s="2" t="s">
        <v>366</v>
      </c>
    </row>
    <row r="806" spans="1:10" x14ac:dyDescent="0.25">
      <c r="A806" s="18" t="s">
        <v>1369</v>
      </c>
      <c r="B806">
        <v>0.3395860705125201</v>
      </c>
      <c r="C806" s="17">
        <f t="shared" si="12"/>
        <v>45470</v>
      </c>
      <c r="D806" s="17"/>
      <c r="J806" s="2" t="s">
        <v>1091</v>
      </c>
    </row>
    <row r="807" spans="1:10" x14ac:dyDescent="0.25">
      <c r="A807" s="18" t="s">
        <v>1052</v>
      </c>
      <c r="B807">
        <v>0.33974207520594679</v>
      </c>
      <c r="C807" s="17">
        <f t="shared" si="12"/>
        <v>45471</v>
      </c>
      <c r="D807" s="17"/>
      <c r="J807" s="2" t="s">
        <v>1092</v>
      </c>
    </row>
    <row r="808" spans="1:10" x14ac:dyDescent="0.25">
      <c r="A808" s="18" t="s">
        <v>1488</v>
      </c>
      <c r="B808">
        <v>0.33986166785037264</v>
      </c>
      <c r="C808" s="17">
        <f t="shared" si="12"/>
        <v>45472</v>
      </c>
      <c r="D808" s="17"/>
      <c r="J808" s="2" t="s">
        <v>1093</v>
      </c>
    </row>
    <row r="809" spans="1:10" x14ac:dyDescent="0.25">
      <c r="A809" s="18" t="s">
        <v>226</v>
      </c>
      <c r="B809">
        <v>0.33992490614265736</v>
      </c>
      <c r="C809" s="17">
        <f t="shared" si="12"/>
        <v>45473</v>
      </c>
      <c r="D809" s="17"/>
      <c r="J809" s="2" t="s">
        <v>1094</v>
      </c>
    </row>
    <row r="810" spans="1:10" x14ac:dyDescent="0.25">
      <c r="A810" s="18" t="s">
        <v>1834</v>
      </c>
      <c r="B810">
        <v>0.34002516634500035</v>
      </c>
      <c r="C810" s="17">
        <f t="shared" si="12"/>
        <v>45474</v>
      </c>
      <c r="D810" s="17"/>
      <c r="J810" s="2" t="s">
        <v>1095</v>
      </c>
    </row>
    <row r="811" spans="1:10" x14ac:dyDescent="0.25">
      <c r="A811" s="18" t="s">
        <v>1165</v>
      </c>
      <c r="B811">
        <v>0.34076168759737102</v>
      </c>
      <c r="C811" s="17">
        <f t="shared" si="12"/>
        <v>45475</v>
      </c>
      <c r="D811" s="17"/>
      <c r="J811" s="2" t="s">
        <v>1096</v>
      </c>
    </row>
    <row r="812" spans="1:10" x14ac:dyDescent="0.25">
      <c r="A812" s="18" t="s">
        <v>278</v>
      </c>
      <c r="B812">
        <v>0.34094274464036367</v>
      </c>
      <c r="C812" s="17">
        <f t="shared" si="12"/>
        <v>45476</v>
      </c>
      <c r="D812" s="17"/>
      <c r="J812" s="2" t="s">
        <v>299</v>
      </c>
    </row>
    <row r="813" spans="1:10" x14ac:dyDescent="0.25">
      <c r="A813" s="18" t="s">
        <v>1068</v>
      </c>
      <c r="B813">
        <v>0.34223629589147231</v>
      </c>
      <c r="C813" s="17">
        <f t="shared" si="12"/>
        <v>45477</v>
      </c>
      <c r="D813" s="17"/>
      <c r="J813" s="2" t="s">
        <v>1097</v>
      </c>
    </row>
    <row r="814" spans="1:10" x14ac:dyDescent="0.25">
      <c r="A814" s="18" t="s">
        <v>646</v>
      </c>
      <c r="B814">
        <v>0.34295514481154787</v>
      </c>
      <c r="C814" s="17">
        <f t="shared" si="12"/>
        <v>45478</v>
      </c>
      <c r="D814" s="17"/>
      <c r="J814" s="2" t="s">
        <v>1098</v>
      </c>
    </row>
    <row r="815" spans="1:10" x14ac:dyDescent="0.25">
      <c r="A815" s="18" t="s">
        <v>1445</v>
      </c>
      <c r="B815">
        <v>0.34315495000195972</v>
      </c>
      <c r="C815" s="17">
        <f t="shared" si="12"/>
        <v>45479</v>
      </c>
      <c r="D815" s="17"/>
      <c r="J815" s="2" t="s">
        <v>1099</v>
      </c>
    </row>
    <row r="816" spans="1:10" x14ac:dyDescent="0.25">
      <c r="A816" s="18" t="s">
        <v>915</v>
      </c>
      <c r="B816">
        <v>0.34354015044593245</v>
      </c>
      <c r="C816" s="17">
        <f t="shared" si="12"/>
        <v>45480</v>
      </c>
      <c r="D816" s="17"/>
      <c r="J816" s="2" t="s">
        <v>1100</v>
      </c>
    </row>
    <row r="817" spans="1:10" x14ac:dyDescent="0.25">
      <c r="A817" s="18" t="s">
        <v>2027</v>
      </c>
      <c r="B817">
        <v>0.34440532804767876</v>
      </c>
      <c r="C817" s="17">
        <f t="shared" si="12"/>
        <v>45481</v>
      </c>
      <c r="D817" s="17"/>
      <c r="J817" s="2" t="s">
        <v>1101</v>
      </c>
    </row>
    <row r="818" spans="1:10" x14ac:dyDescent="0.25">
      <c r="A818" s="18" t="s">
        <v>1647</v>
      </c>
      <c r="B818">
        <v>0.34460029118451962</v>
      </c>
      <c r="C818" s="17">
        <f t="shared" si="12"/>
        <v>45482</v>
      </c>
      <c r="D818" s="17"/>
      <c r="J818" s="2" t="s">
        <v>1102</v>
      </c>
    </row>
    <row r="819" spans="1:10" x14ac:dyDescent="0.25">
      <c r="A819" s="18" t="s">
        <v>1319</v>
      </c>
      <c r="B819">
        <v>0.34484530466881103</v>
      </c>
      <c r="C819" s="17">
        <f t="shared" si="12"/>
        <v>45483</v>
      </c>
      <c r="D819" s="17"/>
      <c r="J819" s="2" t="s">
        <v>1103</v>
      </c>
    </row>
    <row r="820" spans="1:10" x14ac:dyDescent="0.25">
      <c r="A820" s="18" t="s">
        <v>1636</v>
      </c>
      <c r="B820">
        <v>0.3449833175178928</v>
      </c>
      <c r="C820" s="17">
        <f t="shared" si="12"/>
        <v>45484</v>
      </c>
      <c r="D820" s="17"/>
      <c r="J820" s="2" t="s">
        <v>1104</v>
      </c>
    </row>
    <row r="821" spans="1:10" x14ac:dyDescent="0.25">
      <c r="A821" s="18" t="s">
        <v>69</v>
      </c>
      <c r="B821">
        <v>0.34552767347301083</v>
      </c>
      <c r="C821" s="17">
        <f t="shared" si="12"/>
        <v>45485</v>
      </c>
      <c r="D821" s="17"/>
      <c r="J821" s="2" t="s">
        <v>1105</v>
      </c>
    </row>
    <row r="822" spans="1:10" x14ac:dyDescent="0.25">
      <c r="A822" s="18" t="s">
        <v>1660</v>
      </c>
      <c r="B822">
        <v>0.3461353777364945</v>
      </c>
      <c r="C822" s="17">
        <f t="shared" si="12"/>
        <v>45486</v>
      </c>
      <c r="D822" s="17"/>
      <c r="J822" s="2" t="s">
        <v>1106</v>
      </c>
    </row>
    <row r="823" spans="1:10" x14ac:dyDescent="0.25">
      <c r="A823" s="18" t="s">
        <v>1999</v>
      </c>
      <c r="B823">
        <v>0.34613721470448355</v>
      </c>
      <c r="C823" s="17">
        <f t="shared" si="12"/>
        <v>45487</v>
      </c>
      <c r="D823" s="17"/>
      <c r="J823" s="2" t="s">
        <v>50</v>
      </c>
    </row>
    <row r="824" spans="1:10" x14ac:dyDescent="0.25">
      <c r="A824" s="18" t="s">
        <v>2280</v>
      </c>
      <c r="B824">
        <v>0.34639123012113615</v>
      </c>
      <c r="C824" s="17">
        <f t="shared" si="12"/>
        <v>45488</v>
      </c>
      <c r="D824" s="17"/>
      <c r="J824" s="2" t="s">
        <v>1107</v>
      </c>
    </row>
    <row r="825" spans="1:10" x14ac:dyDescent="0.25">
      <c r="A825" s="18" t="s">
        <v>1983</v>
      </c>
      <c r="B825">
        <v>0.34687971743274248</v>
      </c>
      <c r="C825" s="17">
        <f t="shared" si="12"/>
        <v>45489</v>
      </c>
      <c r="D825" s="17"/>
      <c r="J825" s="2" t="s">
        <v>1108</v>
      </c>
    </row>
    <row r="826" spans="1:10" x14ac:dyDescent="0.25">
      <c r="A826" s="18" t="s">
        <v>1142</v>
      </c>
      <c r="B826">
        <v>0.34694434114967909</v>
      </c>
      <c r="C826" s="17">
        <f t="shared" si="12"/>
        <v>45490</v>
      </c>
      <c r="D826" s="17"/>
      <c r="J826" s="2" t="s">
        <v>1109</v>
      </c>
    </row>
    <row r="827" spans="1:10" x14ac:dyDescent="0.25">
      <c r="A827" s="18" t="s">
        <v>520</v>
      </c>
      <c r="B827">
        <v>0.34749893926503905</v>
      </c>
      <c r="C827" s="17">
        <f t="shared" si="12"/>
        <v>45491</v>
      </c>
      <c r="D827" s="17"/>
      <c r="J827" s="2" t="s">
        <v>1110</v>
      </c>
    </row>
    <row r="828" spans="1:10" x14ac:dyDescent="0.25">
      <c r="A828" s="18" t="s">
        <v>157</v>
      </c>
      <c r="B828">
        <v>0.34768613652113955</v>
      </c>
      <c r="C828" s="17">
        <f t="shared" si="12"/>
        <v>45492</v>
      </c>
      <c r="D828" s="17"/>
      <c r="J828" s="2" t="s">
        <v>1111</v>
      </c>
    </row>
    <row r="829" spans="1:10" x14ac:dyDescent="0.25">
      <c r="A829" s="18" t="s">
        <v>296</v>
      </c>
      <c r="B829">
        <v>0.34804917409793668</v>
      </c>
      <c r="C829" s="17">
        <f t="shared" si="12"/>
        <v>45493</v>
      </c>
      <c r="D829" s="17"/>
      <c r="J829" s="2" t="s">
        <v>1112</v>
      </c>
    </row>
    <row r="830" spans="1:10" x14ac:dyDescent="0.25">
      <c r="A830" s="18" t="s">
        <v>2206</v>
      </c>
      <c r="B830">
        <v>0.34810989265210379</v>
      </c>
      <c r="C830" s="17">
        <f t="shared" si="12"/>
        <v>45494</v>
      </c>
      <c r="D830" s="17"/>
      <c r="J830" s="2" t="s">
        <v>1113</v>
      </c>
    </row>
    <row r="831" spans="1:10" x14ac:dyDescent="0.25">
      <c r="A831" s="18" t="s">
        <v>2096</v>
      </c>
      <c r="B831">
        <v>0.34851484636422514</v>
      </c>
      <c r="C831" s="17">
        <f t="shared" si="12"/>
        <v>45495</v>
      </c>
      <c r="D831" s="17"/>
      <c r="J831" s="2" t="s">
        <v>102</v>
      </c>
    </row>
    <row r="832" spans="1:10" x14ac:dyDescent="0.25">
      <c r="A832" s="18" t="s">
        <v>815</v>
      </c>
      <c r="B832">
        <v>0.34863020682139367</v>
      </c>
      <c r="C832" s="17">
        <f t="shared" si="12"/>
        <v>45496</v>
      </c>
      <c r="D832" s="17"/>
      <c r="J832" s="2" t="s">
        <v>1114</v>
      </c>
    </row>
    <row r="833" spans="1:10" x14ac:dyDescent="0.25">
      <c r="A833" s="18" t="s">
        <v>561</v>
      </c>
      <c r="B833">
        <v>0.34928394231301707</v>
      </c>
      <c r="C833" s="17">
        <f t="shared" si="12"/>
        <v>45497</v>
      </c>
      <c r="D833" s="17"/>
      <c r="J833" s="2" t="s">
        <v>1115</v>
      </c>
    </row>
    <row r="834" spans="1:10" x14ac:dyDescent="0.25">
      <c r="A834" s="18" t="s">
        <v>1852</v>
      </c>
      <c r="B834">
        <v>0.34947421190910144</v>
      </c>
      <c r="C834" s="17">
        <f t="shared" si="12"/>
        <v>45498</v>
      </c>
      <c r="D834" s="17"/>
      <c r="J834" s="2" t="s">
        <v>1116</v>
      </c>
    </row>
    <row r="835" spans="1:10" x14ac:dyDescent="0.25">
      <c r="A835" s="18" t="s">
        <v>1641</v>
      </c>
      <c r="B835">
        <v>0.34991734672199437</v>
      </c>
      <c r="C835" s="17">
        <f t="shared" si="12"/>
        <v>45499</v>
      </c>
      <c r="D835" s="17"/>
      <c r="J835" s="2" t="s">
        <v>1117</v>
      </c>
    </row>
    <row r="836" spans="1:10" x14ac:dyDescent="0.25">
      <c r="A836" s="18" t="s">
        <v>1753</v>
      </c>
      <c r="B836">
        <v>0.35028994260154622</v>
      </c>
      <c r="C836" s="17">
        <f t="shared" ref="C836:C899" si="13">C835+1</f>
        <v>45500</v>
      </c>
      <c r="D836" s="17"/>
      <c r="J836" s="2" t="s">
        <v>1118</v>
      </c>
    </row>
    <row r="837" spans="1:10" x14ac:dyDescent="0.25">
      <c r="A837" s="18" t="s">
        <v>231</v>
      </c>
      <c r="B837">
        <v>0.3509320275539104</v>
      </c>
      <c r="C837" s="17">
        <f t="shared" si="13"/>
        <v>45501</v>
      </c>
      <c r="D837" s="17"/>
      <c r="J837" s="2" t="s">
        <v>1119</v>
      </c>
    </row>
    <row r="838" spans="1:10" x14ac:dyDescent="0.25">
      <c r="A838" s="18" t="s">
        <v>606</v>
      </c>
      <c r="B838">
        <v>0.35147261892669013</v>
      </c>
      <c r="C838" s="17">
        <f t="shared" si="13"/>
        <v>45502</v>
      </c>
      <c r="D838" s="17"/>
      <c r="J838" s="2" t="s">
        <v>1120</v>
      </c>
    </row>
    <row r="839" spans="1:10" x14ac:dyDescent="0.25">
      <c r="A839" s="18" t="s">
        <v>54</v>
      </c>
      <c r="B839">
        <v>0.35148916252353113</v>
      </c>
      <c r="C839" s="17">
        <f t="shared" si="13"/>
        <v>45503</v>
      </c>
      <c r="D839" s="17"/>
      <c r="J839" s="2" t="s">
        <v>1121</v>
      </c>
    </row>
    <row r="840" spans="1:10" x14ac:dyDescent="0.25">
      <c r="A840" s="18" t="s">
        <v>1751</v>
      </c>
      <c r="B840">
        <v>0.35192405214598232</v>
      </c>
      <c r="C840" s="17">
        <f t="shared" si="13"/>
        <v>45504</v>
      </c>
      <c r="D840" s="17"/>
      <c r="J840" s="2" t="s">
        <v>410</v>
      </c>
    </row>
    <row r="841" spans="1:10" x14ac:dyDescent="0.25">
      <c r="A841" s="18" t="s">
        <v>2282</v>
      </c>
      <c r="B841">
        <v>0.35242323252336927</v>
      </c>
      <c r="C841" s="17">
        <f t="shared" si="13"/>
        <v>45505</v>
      </c>
      <c r="D841" s="17"/>
      <c r="J841" s="2" t="s">
        <v>1122</v>
      </c>
    </row>
    <row r="842" spans="1:10" x14ac:dyDescent="0.25">
      <c r="A842" s="18" t="s">
        <v>2053</v>
      </c>
      <c r="B842">
        <v>0.35256108995676461</v>
      </c>
      <c r="C842" s="17">
        <f t="shared" si="13"/>
        <v>45506</v>
      </c>
      <c r="D842" s="17"/>
      <c r="J842" s="2" t="s">
        <v>1123</v>
      </c>
    </row>
    <row r="843" spans="1:10" x14ac:dyDescent="0.25">
      <c r="A843" s="18" t="s">
        <v>565</v>
      </c>
      <c r="B843">
        <v>0.35280051490307207</v>
      </c>
      <c r="C843" s="17">
        <f t="shared" si="13"/>
        <v>45507</v>
      </c>
      <c r="D843" s="17"/>
      <c r="J843" s="2" t="s">
        <v>1124</v>
      </c>
    </row>
    <row r="844" spans="1:10" x14ac:dyDescent="0.25">
      <c r="A844" s="18" t="s">
        <v>414</v>
      </c>
      <c r="B844">
        <v>0.35310100690112489</v>
      </c>
      <c r="C844" s="17">
        <f t="shared" si="13"/>
        <v>45508</v>
      </c>
      <c r="D844" s="17"/>
      <c r="J844" s="2" t="s">
        <v>1125</v>
      </c>
    </row>
    <row r="845" spans="1:10" x14ac:dyDescent="0.25">
      <c r="A845" s="18" t="s">
        <v>1605</v>
      </c>
      <c r="B845">
        <v>0.35343178515248574</v>
      </c>
      <c r="C845" s="17">
        <f t="shared" si="13"/>
        <v>45509</v>
      </c>
      <c r="D845" s="17"/>
      <c r="J845" s="2" t="s">
        <v>209</v>
      </c>
    </row>
    <row r="846" spans="1:10" x14ac:dyDescent="0.25">
      <c r="A846" s="18" t="s">
        <v>552</v>
      </c>
      <c r="B846">
        <v>0.35354860477409566</v>
      </c>
      <c r="C846" s="17">
        <f t="shared" si="13"/>
        <v>45510</v>
      </c>
      <c r="D846" s="17"/>
      <c r="J846" s="2" t="s">
        <v>1126</v>
      </c>
    </row>
    <row r="847" spans="1:10" x14ac:dyDescent="0.25">
      <c r="A847" s="18" t="s">
        <v>133</v>
      </c>
      <c r="B847">
        <v>0.35391182228706575</v>
      </c>
      <c r="C847" s="17">
        <f t="shared" si="13"/>
        <v>45511</v>
      </c>
      <c r="D847" s="17"/>
      <c r="J847" s="2" t="s">
        <v>1127</v>
      </c>
    </row>
    <row r="848" spans="1:10" x14ac:dyDescent="0.25">
      <c r="A848" s="18" t="s">
        <v>2253</v>
      </c>
      <c r="B848">
        <v>0.35409176922073393</v>
      </c>
      <c r="C848" s="17">
        <f t="shared" si="13"/>
        <v>45512</v>
      </c>
      <c r="D848" s="17"/>
      <c r="J848" s="2" t="s">
        <v>320</v>
      </c>
    </row>
    <row r="849" spans="1:10" x14ac:dyDescent="0.25">
      <c r="A849" s="18" t="s">
        <v>61</v>
      </c>
      <c r="B849">
        <v>0.35459721878078365</v>
      </c>
      <c r="C849" s="17">
        <f t="shared" si="13"/>
        <v>45513</v>
      </c>
      <c r="D849" s="17"/>
      <c r="J849" s="2" t="s">
        <v>1128</v>
      </c>
    </row>
    <row r="850" spans="1:10" x14ac:dyDescent="0.25">
      <c r="A850" s="18" t="s">
        <v>1084</v>
      </c>
      <c r="B850">
        <v>0.35507726488810598</v>
      </c>
      <c r="C850" s="17">
        <f t="shared" si="13"/>
        <v>45514</v>
      </c>
      <c r="D850" s="17"/>
      <c r="J850" s="2" t="s">
        <v>1129</v>
      </c>
    </row>
    <row r="851" spans="1:10" x14ac:dyDescent="0.25">
      <c r="A851" s="18" t="s">
        <v>2102</v>
      </c>
      <c r="B851">
        <v>0.35527781289084825</v>
      </c>
      <c r="C851" s="17">
        <f t="shared" si="13"/>
        <v>45515</v>
      </c>
      <c r="D851" s="17"/>
      <c r="J851" s="2" t="s">
        <v>1130</v>
      </c>
    </row>
    <row r="852" spans="1:10" x14ac:dyDescent="0.25">
      <c r="A852" s="18" t="s">
        <v>825</v>
      </c>
      <c r="B852">
        <v>0.35571562084386454</v>
      </c>
      <c r="C852" s="17">
        <f t="shared" si="13"/>
        <v>45516</v>
      </c>
      <c r="D852" s="17"/>
      <c r="J852" s="2" t="s">
        <v>1131</v>
      </c>
    </row>
    <row r="853" spans="1:10" x14ac:dyDescent="0.25">
      <c r="A853" s="18" t="s">
        <v>1234</v>
      </c>
      <c r="B853">
        <v>0.35620812070822783</v>
      </c>
      <c r="C853" s="17">
        <f t="shared" si="13"/>
        <v>45517</v>
      </c>
      <c r="D853" s="17"/>
      <c r="J853" s="2" t="s">
        <v>1132</v>
      </c>
    </row>
    <row r="854" spans="1:10" x14ac:dyDescent="0.25">
      <c r="A854" s="18" t="s">
        <v>109</v>
      </c>
      <c r="B854">
        <v>0.3563859483753431</v>
      </c>
      <c r="C854" s="17">
        <f t="shared" si="13"/>
        <v>45518</v>
      </c>
      <c r="D854" s="17"/>
      <c r="J854" s="2" t="s">
        <v>1133</v>
      </c>
    </row>
    <row r="855" spans="1:10" x14ac:dyDescent="0.25">
      <c r="A855" s="18" t="s">
        <v>949</v>
      </c>
      <c r="B855">
        <v>0.35747042239768945</v>
      </c>
      <c r="C855" s="17">
        <f t="shared" si="13"/>
        <v>45519</v>
      </c>
      <c r="D855" s="17"/>
      <c r="J855" s="2" t="s">
        <v>1134</v>
      </c>
    </row>
    <row r="856" spans="1:10" x14ac:dyDescent="0.25">
      <c r="A856" s="18" t="s">
        <v>2130</v>
      </c>
      <c r="B856">
        <v>0.35928580004010113</v>
      </c>
      <c r="C856" s="17">
        <f t="shared" si="13"/>
        <v>45520</v>
      </c>
      <c r="D856" s="17"/>
      <c r="J856" s="2" t="s">
        <v>310</v>
      </c>
    </row>
    <row r="857" spans="1:10" x14ac:dyDescent="0.25">
      <c r="A857" s="18" t="s">
        <v>1884</v>
      </c>
      <c r="B857">
        <v>0.35990557855744709</v>
      </c>
      <c r="C857" s="17">
        <f t="shared" si="13"/>
        <v>45521</v>
      </c>
      <c r="D857" s="17"/>
      <c r="J857" s="2" t="s">
        <v>1135</v>
      </c>
    </row>
    <row r="858" spans="1:10" x14ac:dyDescent="0.25">
      <c r="A858" s="18" t="s">
        <v>1332</v>
      </c>
      <c r="B858">
        <v>0.36027650800146682</v>
      </c>
      <c r="C858" s="17">
        <f t="shared" si="13"/>
        <v>45522</v>
      </c>
      <c r="D858" s="17"/>
      <c r="J858" s="2" t="s">
        <v>1136</v>
      </c>
    </row>
    <row r="859" spans="1:10" x14ac:dyDescent="0.25">
      <c r="A859" s="18" t="s">
        <v>1158</v>
      </c>
      <c r="B859">
        <v>0.36153379069081371</v>
      </c>
      <c r="C859" s="17">
        <f t="shared" si="13"/>
        <v>45523</v>
      </c>
      <c r="D859" s="17"/>
      <c r="J859" s="2" t="s">
        <v>1137</v>
      </c>
    </row>
    <row r="860" spans="1:10" x14ac:dyDescent="0.25">
      <c r="A860" s="18" t="s">
        <v>1867</v>
      </c>
      <c r="B860">
        <v>0.36160505153669364</v>
      </c>
      <c r="C860" s="17">
        <f t="shared" si="13"/>
        <v>45524</v>
      </c>
      <c r="D860" s="17"/>
      <c r="J860" s="2" t="s">
        <v>1138</v>
      </c>
    </row>
    <row r="861" spans="1:10" x14ac:dyDescent="0.25">
      <c r="A861" s="18" t="s">
        <v>1720</v>
      </c>
      <c r="B861">
        <v>0.36185095097490305</v>
      </c>
      <c r="C861" s="17">
        <f t="shared" si="13"/>
        <v>45525</v>
      </c>
      <c r="D861" s="17"/>
      <c r="J861" s="2" t="s">
        <v>1139</v>
      </c>
    </row>
    <row r="862" spans="1:10" x14ac:dyDescent="0.25">
      <c r="A862" s="18" t="s">
        <v>2009</v>
      </c>
      <c r="B862">
        <v>0.36252933991628733</v>
      </c>
      <c r="C862" s="17">
        <f t="shared" si="13"/>
        <v>45526</v>
      </c>
      <c r="D862" s="17"/>
      <c r="J862" s="2" t="s">
        <v>1140</v>
      </c>
    </row>
    <row r="863" spans="1:10" x14ac:dyDescent="0.25">
      <c r="A863" s="18" t="s">
        <v>659</v>
      </c>
      <c r="B863">
        <v>0.36278843789008297</v>
      </c>
      <c r="C863" s="17">
        <f t="shared" si="13"/>
        <v>45527</v>
      </c>
      <c r="D863" s="17"/>
      <c r="J863" s="2" t="s">
        <v>1141</v>
      </c>
    </row>
    <row r="864" spans="1:10" x14ac:dyDescent="0.25">
      <c r="A864" s="18" t="s">
        <v>1510</v>
      </c>
      <c r="B864">
        <v>0.36301475470806432</v>
      </c>
      <c r="C864" s="17">
        <f t="shared" si="13"/>
        <v>45528</v>
      </c>
      <c r="D864" s="17"/>
      <c r="J864" s="2" t="s">
        <v>1142</v>
      </c>
    </row>
    <row r="865" spans="1:10" x14ac:dyDescent="0.25">
      <c r="A865" s="18" t="s">
        <v>692</v>
      </c>
      <c r="B865">
        <v>0.36359582766149934</v>
      </c>
      <c r="C865" s="17">
        <f t="shared" si="13"/>
        <v>45529</v>
      </c>
      <c r="D865" s="17"/>
      <c r="J865" s="2" t="s">
        <v>359</v>
      </c>
    </row>
    <row r="866" spans="1:10" x14ac:dyDescent="0.25">
      <c r="A866" s="18" t="s">
        <v>1794</v>
      </c>
      <c r="B866">
        <v>0.36381747134214504</v>
      </c>
      <c r="C866" s="17">
        <f t="shared" si="13"/>
        <v>45530</v>
      </c>
      <c r="D866" s="17"/>
      <c r="J866" s="2" t="s">
        <v>167</v>
      </c>
    </row>
    <row r="867" spans="1:10" x14ac:dyDescent="0.25">
      <c r="A867" s="18" t="s">
        <v>35</v>
      </c>
      <c r="B867">
        <v>0.3645000040826194</v>
      </c>
      <c r="C867" s="17">
        <f t="shared" si="13"/>
        <v>45531</v>
      </c>
      <c r="D867" s="17"/>
      <c r="J867" s="2" t="s">
        <v>1143</v>
      </c>
    </row>
    <row r="868" spans="1:10" x14ac:dyDescent="0.25">
      <c r="A868" s="18" t="s">
        <v>1525</v>
      </c>
      <c r="B868">
        <v>0.36536665535027479</v>
      </c>
      <c r="C868" s="17">
        <f t="shared" si="13"/>
        <v>45532</v>
      </c>
      <c r="D868" s="17"/>
      <c r="J868" s="2" t="s">
        <v>319</v>
      </c>
    </row>
    <row r="869" spans="1:10" x14ac:dyDescent="0.25">
      <c r="A869" s="18" t="s">
        <v>2227</v>
      </c>
      <c r="B869">
        <v>0.36561071098873754</v>
      </c>
      <c r="C869" s="17">
        <f t="shared" si="13"/>
        <v>45533</v>
      </c>
      <c r="D869" s="17"/>
      <c r="J869" s="2" t="s">
        <v>1144</v>
      </c>
    </row>
    <row r="870" spans="1:10" x14ac:dyDescent="0.25">
      <c r="A870" s="18" t="s">
        <v>1835</v>
      </c>
      <c r="B870">
        <v>0.3660144909513825</v>
      </c>
      <c r="C870" s="17">
        <f t="shared" si="13"/>
        <v>45534</v>
      </c>
      <c r="D870" s="17"/>
      <c r="J870" s="2" t="s">
        <v>1145</v>
      </c>
    </row>
    <row r="871" spans="1:10" x14ac:dyDescent="0.25">
      <c r="A871" s="18" t="s">
        <v>2084</v>
      </c>
      <c r="B871">
        <v>0.36635006121934655</v>
      </c>
      <c r="C871" s="17">
        <f t="shared" si="13"/>
        <v>45535</v>
      </c>
      <c r="D871" s="17"/>
      <c r="J871" s="2" t="s">
        <v>1146</v>
      </c>
    </row>
    <row r="872" spans="1:10" x14ac:dyDescent="0.25">
      <c r="A872" s="18" t="s">
        <v>393</v>
      </c>
      <c r="B872">
        <v>0.36651636238966812</v>
      </c>
      <c r="C872" s="17">
        <f t="shared" si="13"/>
        <v>45536</v>
      </c>
      <c r="D872" s="17"/>
      <c r="J872" s="2" t="s">
        <v>254</v>
      </c>
    </row>
    <row r="873" spans="1:10" x14ac:dyDescent="0.25">
      <c r="A873" s="18" t="s">
        <v>1923</v>
      </c>
      <c r="B873">
        <v>0.36757230636010563</v>
      </c>
      <c r="C873" s="17">
        <f t="shared" si="13"/>
        <v>45537</v>
      </c>
      <c r="D873" s="17"/>
      <c r="J873" s="2" t="s">
        <v>1147</v>
      </c>
    </row>
    <row r="874" spans="1:10" x14ac:dyDescent="0.25">
      <c r="A874" s="18" t="s">
        <v>678</v>
      </c>
      <c r="B874">
        <v>0.36765895640343271</v>
      </c>
      <c r="C874" s="17">
        <f t="shared" si="13"/>
        <v>45538</v>
      </c>
      <c r="D874" s="17"/>
      <c r="J874" s="2" t="s">
        <v>1148</v>
      </c>
    </row>
    <row r="875" spans="1:10" x14ac:dyDescent="0.25">
      <c r="A875" s="18" t="s">
        <v>571</v>
      </c>
      <c r="B875">
        <v>0.36775708018828224</v>
      </c>
      <c r="C875" s="17">
        <f t="shared" si="13"/>
        <v>45539</v>
      </c>
      <c r="D875" s="17"/>
      <c r="J875" s="2" t="s">
        <v>207</v>
      </c>
    </row>
    <row r="876" spans="1:10" x14ac:dyDescent="0.25">
      <c r="A876" s="18" t="s">
        <v>1657</v>
      </c>
      <c r="B876">
        <v>0.36824300995602599</v>
      </c>
      <c r="C876" s="17">
        <f t="shared" si="13"/>
        <v>45540</v>
      </c>
      <c r="D876" s="17"/>
      <c r="J876" s="2" t="s">
        <v>1149</v>
      </c>
    </row>
    <row r="877" spans="1:10" x14ac:dyDescent="0.25">
      <c r="A877" s="18" t="s">
        <v>1603</v>
      </c>
      <c r="B877">
        <v>0.36870935826274409</v>
      </c>
      <c r="C877" s="17">
        <f t="shared" si="13"/>
        <v>45541</v>
      </c>
      <c r="D877" s="17"/>
      <c r="J877" s="2" t="s">
        <v>1150</v>
      </c>
    </row>
    <row r="878" spans="1:10" x14ac:dyDescent="0.25">
      <c r="A878" s="18" t="s">
        <v>1622</v>
      </c>
      <c r="B878">
        <v>0.36891658123956661</v>
      </c>
      <c r="C878" s="17">
        <f t="shared" si="13"/>
        <v>45542</v>
      </c>
      <c r="D878" s="17"/>
      <c r="J878" s="2" t="s">
        <v>1151</v>
      </c>
    </row>
    <row r="879" spans="1:10" x14ac:dyDescent="0.25">
      <c r="A879" s="18" t="s">
        <v>62</v>
      </c>
      <c r="B879">
        <v>0.36948449383549575</v>
      </c>
      <c r="C879" s="17">
        <f t="shared" si="13"/>
        <v>45543</v>
      </c>
      <c r="D879" s="17"/>
      <c r="J879" s="2" t="s">
        <v>1152</v>
      </c>
    </row>
    <row r="880" spans="1:10" x14ac:dyDescent="0.25">
      <c r="A880" s="18" t="s">
        <v>967</v>
      </c>
      <c r="B880">
        <v>0.36957370758600494</v>
      </c>
      <c r="C880" s="17">
        <f t="shared" si="13"/>
        <v>45544</v>
      </c>
      <c r="D880" s="17"/>
      <c r="J880" s="2" t="s">
        <v>1153</v>
      </c>
    </row>
    <row r="881" spans="1:10" x14ac:dyDescent="0.25">
      <c r="A881" s="18" t="s">
        <v>52</v>
      </c>
      <c r="B881">
        <v>0.37137763731271833</v>
      </c>
      <c r="C881" s="17">
        <f t="shared" si="13"/>
        <v>45545</v>
      </c>
      <c r="D881" s="17"/>
      <c r="J881" s="2" t="s">
        <v>1154</v>
      </c>
    </row>
    <row r="882" spans="1:10" x14ac:dyDescent="0.25">
      <c r="A882" s="18" t="s">
        <v>769</v>
      </c>
      <c r="B882">
        <v>0.37208603527830275</v>
      </c>
      <c r="C882" s="17">
        <f t="shared" si="13"/>
        <v>45546</v>
      </c>
      <c r="D882" s="17"/>
      <c r="J882" s="2" t="s">
        <v>356</v>
      </c>
    </row>
    <row r="883" spans="1:10" x14ac:dyDescent="0.25">
      <c r="A883" s="18" t="s">
        <v>1147</v>
      </c>
      <c r="B883">
        <v>0.37255861129409384</v>
      </c>
      <c r="C883" s="17">
        <f t="shared" si="13"/>
        <v>45547</v>
      </c>
      <c r="D883" s="17"/>
      <c r="J883" s="2" t="s">
        <v>1155</v>
      </c>
    </row>
    <row r="884" spans="1:10" x14ac:dyDescent="0.25">
      <c r="A884" s="18" t="s">
        <v>728</v>
      </c>
      <c r="B884">
        <v>0.37355595179646861</v>
      </c>
      <c r="C884" s="17">
        <f t="shared" si="13"/>
        <v>45548</v>
      </c>
      <c r="D884" s="17"/>
      <c r="J884" s="2" t="s">
        <v>1156</v>
      </c>
    </row>
    <row r="885" spans="1:10" x14ac:dyDescent="0.25">
      <c r="A885" s="18" t="s">
        <v>789</v>
      </c>
      <c r="B885">
        <v>0.37424943748128925</v>
      </c>
      <c r="C885" s="17">
        <f t="shared" si="13"/>
        <v>45549</v>
      </c>
      <c r="D885" s="17"/>
      <c r="J885" s="2" t="s">
        <v>1157</v>
      </c>
    </row>
    <row r="886" spans="1:10" x14ac:dyDescent="0.25">
      <c r="A886" s="18" t="s">
        <v>1162</v>
      </c>
      <c r="B886">
        <v>0.37473133911693168</v>
      </c>
      <c r="C886" s="17">
        <f t="shared" si="13"/>
        <v>45550</v>
      </c>
      <c r="D886" s="17"/>
      <c r="J886" s="2" t="s">
        <v>1158</v>
      </c>
    </row>
    <row r="887" spans="1:10" x14ac:dyDescent="0.25">
      <c r="A887" s="18" t="s">
        <v>933</v>
      </c>
      <c r="B887">
        <v>0.37517656517096432</v>
      </c>
      <c r="C887" s="17">
        <f t="shared" si="13"/>
        <v>45551</v>
      </c>
      <c r="D887" s="17"/>
      <c r="J887" s="2" t="s">
        <v>1159</v>
      </c>
    </row>
    <row r="888" spans="1:10" x14ac:dyDescent="0.25">
      <c r="A888" s="18" t="s">
        <v>2144</v>
      </c>
      <c r="B888">
        <v>0.37543928039259</v>
      </c>
      <c r="C888" s="17">
        <f t="shared" si="13"/>
        <v>45552</v>
      </c>
      <c r="D888" s="17"/>
      <c r="J888" s="2" t="s">
        <v>1160</v>
      </c>
    </row>
    <row r="889" spans="1:10" x14ac:dyDescent="0.25">
      <c r="A889" s="18" t="s">
        <v>2163</v>
      </c>
      <c r="B889">
        <v>0.37568876893429781</v>
      </c>
      <c r="C889" s="17">
        <f t="shared" si="13"/>
        <v>45553</v>
      </c>
      <c r="D889" s="17"/>
      <c r="J889" s="2" t="s">
        <v>1161</v>
      </c>
    </row>
    <row r="890" spans="1:10" x14ac:dyDescent="0.25">
      <c r="A890" s="18" t="s">
        <v>420</v>
      </c>
      <c r="B890">
        <v>0.3759090264186381</v>
      </c>
      <c r="C890" s="17">
        <f t="shared" si="13"/>
        <v>45554</v>
      </c>
      <c r="D890" s="17"/>
      <c r="J890" s="2" t="s">
        <v>78</v>
      </c>
    </row>
    <row r="891" spans="1:10" x14ac:dyDescent="0.25">
      <c r="A891" s="18" t="s">
        <v>567</v>
      </c>
      <c r="B891">
        <v>0.37600988147983039</v>
      </c>
      <c r="C891" s="17">
        <f t="shared" si="13"/>
        <v>45555</v>
      </c>
      <c r="D891" s="17"/>
      <c r="J891" s="2" t="s">
        <v>1162</v>
      </c>
    </row>
    <row r="892" spans="1:10" x14ac:dyDescent="0.25">
      <c r="A892" s="18" t="s">
        <v>1221</v>
      </c>
      <c r="B892">
        <v>0.37615939888264238</v>
      </c>
      <c r="C892" s="17">
        <f t="shared" si="13"/>
        <v>45556</v>
      </c>
      <c r="D892" s="17"/>
      <c r="J892" s="2" t="s">
        <v>306</v>
      </c>
    </row>
    <row r="893" spans="1:10" x14ac:dyDescent="0.25">
      <c r="A893" s="18" t="s">
        <v>1932</v>
      </c>
      <c r="B893">
        <v>0.37692812380509777</v>
      </c>
      <c r="C893" s="17">
        <f t="shared" si="13"/>
        <v>45557</v>
      </c>
      <c r="D893" s="17"/>
      <c r="J893" s="2" t="s">
        <v>94</v>
      </c>
    </row>
    <row r="894" spans="1:10" x14ac:dyDescent="0.25">
      <c r="A894" s="18" t="s">
        <v>2275</v>
      </c>
      <c r="B894">
        <v>0.37738879875316722</v>
      </c>
      <c r="C894" s="17">
        <f t="shared" si="13"/>
        <v>45558</v>
      </c>
      <c r="D894" s="17"/>
      <c r="J894" s="2" t="s">
        <v>14</v>
      </c>
    </row>
    <row r="895" spans="1:10" x14ac:dyDescent="0.25">
      <c r="A895" s="18" t="s">
        <v>1648</v>
      </c>
      <c r="B895">
        <v>0.37794422925147808</v>
      </c>
      <c r="C895" s="17">
        <f t="shared" si="13"/>
        <v>45559</v>
      </c>
      <c r="D895" s="17"/>
      <c r="J895" s="2" t="s">
        <v>1163</v>
      </c>
    </row>
    <row r="896" spans="1:10" x14ac:dyDescent="0.25">
      <c r="A896" s="18" t="s">
        <v>1990</v>
      </c>
      <c r="B896">
        <v>0.37798356753239792</v>
      </c>
      <c r="C896" s="17">
        <f t="shared" si="13"/>
        <v>45560</v>
      </c>
      <c r="D896" s="17"/>
      <c r="J896" s="2" t="s">
        <v>1164</v>
      </c>
    </row>
    <row r="897" spans="1:10" x14ac:dyDescent="0.25">
      <c r="A897" s="18" t="s">
        <v>2293</v>
      </c>
      <c r="B897">
        <v>0.3781661969543455</v>
      </c>
      <c r="C897" s="17">
        <f t="shared" si="13"/>
        <v>45561</v>
      </c>
      <c r="D897" s="17"/>
      <c r="J897" s="2" t="s">
        <v>1165</v>
      </c>
    </row>
    <row r="898" spans="1:10" x14ac:dyDescent="0.25">
      <c r="A898" s="18" t="s">
        <v>869</v>
      </c>
      <c r="B898">
        <v>0.37856611034327492</v>
      </c>
      <c r="C898" s="17">
        <f t="shared" si="13"/>
        <v>45562</v>
      </c>
      <c r="D898" s="17"/>
      <c r="J898" s="2" t="s">
        <v>1166</v>
      </c>
    </row>
    <row r="899" spans="1:10" x14ac:dyDescent="0.25">
      <c r="A899" s="18" t="s">
        <v>456</v>
      </c>
      <c r="B899">
        <v>0.3793898362293856</v>
      </c>
      <c r="C899" s="17">
        <f t="shared" si="13"/>
        <v>45563</v>
      </c>
      <c r="D899" s="17"/>
      <c r="J899" s="2" t="s">
        <v>256</v>
      </c>
    </row>
    <row r="900" spans="1:10" x14ac:dyDescent="0.25">
      <c r="A900" s="18" t="s">
        <v>1888</v>
      </c>
      <c r="B900">
        <v>0.37950173814554544</v>
      </c>
      <c r="C900" s="17">
        <f t="shared" ref="C900:C963" si="14">C899+1</f>
        <v>45564</v>
      </c>
      <c r="D900" s="17"/>
      <c r="J900" s="2" t="s">
        <v>1167</v>
      </c>
    </row>
    <row r="901" spans="1:10" x14ac:dyDescent="0.25">
      <c r="A901" s="18" t="s">
        <v>716</v>
      </c>
      <c r="B901">
        <v>0.37988273945269402</v>
      </c>
      <c r="C901" s="17">
        <f t="shared" si="14"/>
        <v>45565</v>
      </c>
      <c r="D901" s="17"/>
      <c r="J901" s="2" t="s">
        <v>121</v>
      </c>
    </row>
    <row r="902" spans="1:10" x14ac:dyDescent="0.25">
      <c r="A902" s="18" t="s">
        <v>93</v>
      </c>
      <c r="B902">
        <v>0.38050925350687304</v>
      </c>
      <c r="C902" s="17">
        <f t="shared" si="14"/>
        <v>45566</v>
      </c>
      <c r="D902" s="17"/>
      <c r="J902" s="2" t="s">
        <v>1168</v>
      </c>
    </row>
    <row r="903" spans="1:10" x14ac:dyDescent="0.25">
      <c r="A903" s="18" t="s">
        <v>900</v>
      </c>
      <c r="B903">
        <v>0.38069935780596109</v>
      </c>
      <c r="C903" s="17">
        <f t="shared" si="14"/>
        <v>45567</v>
      </c>
      <c r="D903" s="17"/>
      <c r="J903" s="2" t="s">
        <v>344</v>
      </c>
    </row>
    <row r="904" spans="1:10" x14ac:dyDescent="0.25">
      <c r="A904" s="18" t="s">
        <v>1037</v>
      </c>
      <c r="B904">
        <v>0.38298470466457024</v>
      </c>
      <c r="C904" s="17">
        <f t="shared" si="14"/>
        <v>45568</v>
      </c>
      <c r="D904" s="17"/>
      <c r="J904" s="2" t="s">
        <v>132</v>
      </c>
    </row>
    <row r="905" spans="1:10" x14ac:dyDescent="0.25">
      <c r="A905" s="18" t="s">
        <v>2043</v>
      </c>
      <c r="B905">
        <v>0.38319589375003227</v>
      </c>
      <c r="C905" s="17">
        <f t="shared" si="14"/>
        <v>45569</v>
      </c>
      <c r="D905" s="17"/>
      <c r="J905" s="2" t="s">
        <v>1169</v>
      </c>
    </row>
    <row r="906" spans="1:10" x14ac:dyDescent="0.25">
      <c r="A906" s="18" t="s">
        <v>830</v>
      </c>
      <c r="B906">
        <v>0.3836750242581396</v>
      </c>
      <c r="C906" s="17">
        <f t="shared" si="14"/>
        <v>45570</v>
      </c>
      <c r="D906" s="17"/>
      <c r="J906" s="2" t="s">
        <v>1170</v>
      </c>
    </row>
    <row r="907" spans="1:10" x14ac:dyDescent="0.25">
      <c r="A907" s="18" t="s">
        <v>174</v>
      </c>
      <c r="B907">
        <v>0.38410830425658593</v>
      </c>
      <c r="C907" s="17">
        <f t="shared" si="14"/>
        <v>45571</v>
      </c>
      <c r="D907" s="17"/>
      <c r="J907" s="2" t="s">
        <v>1171</v>
      </c>
    </row>
    <row r="908" spans="1:10" x14ac:dyDescent="0.25">
      <c r="A908" s="18" t="s">
        <v>1283</v>
      </c>
      <c r="B908">
        <v>0.3843947482196004</v>
      </c>
      <c r="C908" s="17">
        <f t="shared" si="14"/>
        <v>45572</v>
      </c>
      <c r="D908" s="17"/>
      <c r="J908" s="2" t="s">
        <v>1172</v>
      </c>
    </row>
    <row r="909" spans="1:10" x14ac:dyDescent="0.25">
      <c r="A909" s="18" t="s">
        <v>1252</v>
      </c>
      <c r="B909">
        <v>0.38539099569245416</v>
      </c>
      <c r="C909" s="17">
        <f t="shared" si="14"/>
        <v>45573</v>
      </c>
      <c r="D909" s="17"/>
      <c r="J909" s="2" t="s">
        <v>1173</v>
      </c>
    </row>
    <row r="910" spans="1:10" x14ac:dyDescent="0.25">
      <c r="A910" s="18" t="s">
        <v>1411</v>
      </c>
      <c r="B910">
        <v>0.38611412031937098</v>
      </c>
      <c r="C910" s="17">
        <f t="shared" si="14"/>
        <v>45574</v>
      </c>
      <c r="D910" s="17"/>
      <c r="J910" s="2" t="s">
        <v>391</v>
      </c>
    </row>
    <row r="911" spans="1:10" x14ac:dyDescent="0.25">
      <c r="A911" s="18" t="s">
        <v>803</v>
      </c>
      <c r="B911">
        <v>0.38626544719005451</v>
      </c>
      <c r="C911" s="17">
        <f t="shared" si="14"/>
        <v>45575</v>
      </c>
      <c r="D911" s="17"/>
      <c r="J911" s="2" t="s">
        <v>1174</v>
      </c>
    </row>
    <row r="912" spans="1:10" x14ac:dyDescent="0.25">
      <c r="A912" s="18" t="s">
        <v>1554</v>
      </c>
      <c r="B912">
        <v>0.38631291340740348</v>
      </c>
      <c r="C912" s="17">
        <f t="shared" si="14"/>
        <v>45576</v>
      </c>
      <c r="D912" s="17"/>
      <c r="J912" s="2" t="s">
        <v>1175</v>
      </c>
    </row>
    <row r="913" spans="1:10" x14ac:dyDescent="0.25">
      <c r="A913" s="18" t="s">
        <v>1263</v>
      </c>
      <c r="B913">
        <v>0.38639533891171185</v>
      </c>
      <c r="C913" s="17">
        <f t="shared" si="14"/>
        <v>45577</v>
      </c>
      <c r="D913" s="17"/>
      <c r="J913" s="2" t="s">
        <v>1176</v>
      </c>
    </row>
    <row r="914" spans="1:10" x14ac:dyDescent="0.25">
      <c r="A914" s="18" t="s">
        <v>888</v>
      </c>
      <c r="B914">
        <v>0.38731377396124511</v>
      </c>
      <c r="C914" s="17">
        <f t="shared" si="14"/>
        <v>45578</v>
      </c>
      <c r="D914" s="17"/>
      <c r="J914" s="2" t="s">
        <v>1177</v>
      </c>
    </row>
    <row r="915" spans="1:10" x14ac:dyDescent="0.25">
      <c r="A915" s="18" t="s">
        <v>2018</v>
      </c>
      <c r="B915">
        <v>0.38819595025016584</v>
      </c>
      <c r="C915" s="17">
        <f t="shared" si="14"/>
        <v>45579</v>
      </c>
      <c r="D915" s="17"/>
      <c r="J915" s="2" t="s">
        <v>1178</v>
      </c>
    </row>
    <row r="916" spans="1:10" x14ac:dyDescent="0.25">
      <c r="A916" s="18" t="s">
        <v>1625</v>
      </c>
      <c r="B916">
        <v>0.38825973747935505</v>
      </c>
      <c r="C916" s="17">
        <f t="shared" si="14"/>
        <v>45580</v>
      </c>
      <c r="D916" s="17"/>
      <c r="J916" s="2" t="s">
        <v>1179</v>
      </c>
    </row>
    <row r="917" spans="1:10" x14ac:dyDescent="0.25">
      <c r="A917" s="18" t="s">
        <v>1202</v>
      </c>
      <c r="B917">
        <v>0.38841151480143332</v>
      </c>
      <c r="C917" s="17">
        <f t="shared" si="14"/>
        <v>45581</v>
      </c>
      <c r="D917" s="17"/>
      <c r="J917" s="2" t="s">
        <v>372</v>
      </c>
    </row>
    <row r="918" spans="1:10" x14ac:dyDescent="0.25">
      <c r="A918" s="18" t="s">
        <v>2073</v>
      </c>
      <c r="B918">
        <v>0.3888426802354541</v>
      </c>
      <c r="C918" s="17">
        <f t="shared" si="14"/>
        <v>45582</v>
      </c>
      <c r="D918" s="17"/>
      <c r="J918" s="2" t="s">
        <v>1180</v>
      </c>
    </row>
    <row r="919" spans="1:10" x14ac:dyDescent="0.25">
      <c r="A919" s="18" t="s">
        <v>1107</v>
      </c>
      <c r="B919">
        <v>0.38908138939034631</v>
      </c>
      <c r="C919" s="17">
        <f t="shared" si="14"/>
        <v>45583</v>
      </c>
      <c r="D919" s="17"/>
      <c r="J919" s="2" t="s">
        <v>1181</v>
      </c>
    </row>
    <row r="920" spans="1:10" x14ac:dyDescent="0.25">
      <c r="A920" s="18" t="s">
        <v>791</v>
      </c>
      <c r="B920">
        <v>0.38988169397056571</v>
      </c>
      <c r="C920" s="17">
        <f t="shared" si="14"/>
        <v>45584</v>
      </c>
      <c r="D920" s="17"/>
      <c r="J920" s="2" t="s">
        <v>1182</v>
      </c>
    </row>
    <row r="921" spans="1:10" x14ac:dyDescent="0.25">
      <c r="A921" s="18" t="s">
        <v>233</v>
      </c>
      <c r="B921">
        <v>0.3898982292592037</v>
      </c>
      <c r="C921" s="17">
        <f t="shared" si="14"/>
        <v>45585</v>
      </c>
      <c r="D921" s="17"/>
      <c r="J921" s="2" t="s">
        <v>1183</v>
      </c>
    </row>
    <row r="922" spans="1:10" x14ac:dyDescent="0.25">
      <c r="A922" s="18" t="s">
        <v>281</v>
      </c>
      <c r="B922">
        <v>0.39053513625973479</v>
      </c>
      <c r="C922" s="17">
        <f t="shared" si="14"/>
        <v>45586</v>
      </c>
      <c r="D922" s="17"/>
      <c r="J922" s="2" t="s">
        <v>1184</v>
      </c>
    </row>
    <row r="923" spans="1:10" x14ac:dyDescent="0.25">
      <c r="A923" s="18" t="s">
        <v>912</v>
      </c>
      <c r="B923">
        <v>0.39056756015395311</v>
      </c>
      <c r="C923" s="17">
        <f t="shared" si="14"/>
        <v>45587</v>
      </c>
      <c r="D923" s="17"/>
      <c r="J923" s="2" t="s">
        <v>1185</v>
      </c>
    </row>
    <row r="924" spans="1:10" x14ac:dyDescent="0.25">
      <c r="A924" s="18" t="s">
        <v>937</v>
      </c>
      <c r="B924">
        <v>0.3906895300701706</v>
      </c>
      <c r="C924" s="17">
        <f t="shared" si="14"/>
        <v>45588</v>
      </c>
      <c r="D924" s="17"/>
      <c r="J924" s="2" t="s">
        <v>107</v>
      </c>
    </row>
    <row r="925" spans="1:10" x14ac:dyDescent="0.25">
      <c r="A925" s="18" t="s">
        <v>2010</v>
      </c>
      <c r="B925">
        <v>0.39076567063974788</v>
      </c>
      <c r="C925" s="17">
        <f t="shared" si="14"/>
        <v>45589</v>
      </c>
      <c r="D925" s="17"/>
      <c r="J925" s="2" t="s">
        <v>1186</v>
      </c>
    </row>
    <row r="926" spans="1:10" x14ac:dyDescent="0.25">
      <c r="A926" s="18" t="s">
        <v>1177</v>
      </c>
      <c r="B926">
        <v>0.39138792515707943</v>
      </c>
      <c r="C926" s="17">
        <f t="shared" si="14"/>
        <v>45590</v>
      </c>
      <c r="D926" s="17"/>
      <c r="J926" s="2" t="s">
        <v>193</v>
      </c>
    </row>
    <row r="927" spans="1:10" x14ac:dyDescent="0.25">
      <c r="A927" s="18" t="s">
        <v>2020</v>
      </c>
      <c r="B927">
        <v>0.39256358017161208</v>
      </c>
      <c r="C927" s="17">
        <f t="shared" si="14"/>
        <v>45591</v>
      </c>
      <c r="D927" s="17"/>
      <c r="J927" s="2" t="s">
        <v>1187</v>
      </c>
    </row>
    <row r="928" spans="1:10" x14ac:dyDescent="0.25">
      <c r="A928" s="18" t="s">
        <v>1896</v>
      </c>
      <c r="B928">
        <v>0.39315151571035734</v>
      </c>
      <c r="C928" s="17">
        <f t="shared" si="14"/>
        <v>45592</v>
      </c>
      <c r="D928" s="17"/>
      <c r="J928" s="2" t="s">
        <v>321</v>
      </c>
    </row>
    <row r="929" spans="1:10" x14ac:dyDescent="0.25">
      <c r="A929" s="18" t="s">
        <v>570</v>
      </c>
      <c r="B929">
        <v>0.39338667070485789</v>
      </c>
      <c r="C929" s="17">
        <f t="shared" si="14"/>
        <v>45593</v>
      </c>
      <c r="D929" s="17"/>
      <c r="J929" s="2" t="s">
        <v>1188</v>
      </c>
    </row>
    <row r="930" spans="1:10" x14ac:dyDescent="0.25">
      <c r="A930" s="18" t="s">
        <v>506</v>
      </c>
      <c r="B930">
        <v>0.39427755804224718</v>
      </c>
      <c r="C930" s="17">
        <f t="shared" si="14"/>
        <v>45594</v>
      </c>
      <c r="D930" s="17"/>
      <c r="J930" s="2" t="s">
        <v>208</v>
      </c>
    </row>
    <row r="931" spans="1:10" x14ac:dyDescent="0.25">
      <c r="A931" s="18" t="s">
        <v>1512</v>
      </c>
      <c r="B931">
        <v>0.39610752388428938</v>
      </c>
      <c r="C931" s="17">
        <f t="shared" si="14"/>
        <v>45595</v>
      </c>
      <c r="D931" s="17"/>
      <c r="J931" s="2" t="s">
        <v>1189</v>
      </c>
    </row>
    <row r="932" spans="1:10" x14ac:dyDescent="0.25">
      <c r="A932" s="18" t="s">
        <v>1626</v>
      </c>
      <c r="B932">
        <v>0.39615543489913163</v>
      </c>
      <c r="C932" s="17">
        <f t="shared" si="14"/>
        <v>45596</v>
      </c>
      <c r="D932" s="17"/>
      <c r="J932" s="2" t="s">
        <v>47</v>
      </c>
    </row>
    <row r="933" spans="1:10" x14ac:dyDescent="0.25">
      <c r="A933" s="18" t="s">
        <v>677</v>
      </c>
      <c r="B933">
        <v>0.39616602727323824</v>
      </c>
      <c r="C933" s="17">
        <f t="shared" si="14"/>
        <v>45597</v>
      </c>
      <c r="D933" s="17"/>
      <c r="J933" s="2" t="s">
        <v>1190</v>
      </c>
    </row>
    <row r="934" spans="1:10" x14ac:dyDescent="0.25">
      <c r="A934" s="18" t="s">
        <v>1458</v>
      </c>
      <c r="B934">
        <v>0.39635323777082021</v>
      </c>
      <c r="C934" s="17">
        <f t="shared" si="14"/>
        <v>45598</v>
      </c>
      <c r="D934" s="17"/>
      <c r="J934" s="2" t="s">
        <v>1191</v>
      </c>
    </row>
    <row r="935" spans="1:10" x14ac:dyDescent="0.25">
      <c r="A935" s="18" t="s">
        <v>909</v>
      </c>
      <c r="B935">
        <v>0.39639703936317416</v>
      </c>
      <c r="C935" s="17">
        <f t="shared" si="14"/>
        <v>45599</v>
      </c>
      <c r="D935" s="17"/>
      <c r="J935" s="2" t="s">
        <v>1192</v>
      </c>
    </row>
    <row r="936" spans="1:10" x14ac:dyDescent="0.25">
      <c r="A936" s="18" t="s">
        <v>1462</v>
      </c>
      <c r="B936">
        <v>0.39643763721665515</v>
      </c>
      <c r="C936" s="17">
        <f t="shared" si="14"/>
        <v>45600</v>
      </c>
      <c r="D936" s="17"/>
      <c r="J936" s="2" t="s">
        <v>1193</v>
      </c>
    </row>
    <row r="937" spans="1:10" x14ac:dyDescent="0.25">
      <c r="A937" s="18" t="s">
        <v>1404</v>
      </c>
      <c r="B937">
        <v>0.39651231570850454</v>
      </c>
      <c r="C937" s="17">
        <f t="shared" si="14"/>
        <v>45601</v>
      </c>
      <c r="D937" s="17"/>
      <c r="J937" s="2" t="s">
        <v>1194</v>
      </c>
    </row>
    <row r="938" spans="1:10" x14ac:dyDescent="0.25">
      <c r="A938" s="18" t="s">
        <v>2114</v>
      </c>
      <c r="B938">
        <v>0.39656942559097941</v>
      </c>
      <c r="C938" s="17">
        <f t="shared" si="14"/>
        <v>45602</v>
      </c>
      <c r="D938" s="17"/>
      <c r="J938" s="2" t="s">
        <v>1195</v>
      </c>
    </row>
    <row r="939" spans="1:10" x14ac:dyDescent="0.25">
      <c r="A939" s="18" t="s">
        <v>857</v>
      </c>
      <c r="B939">
        <v>0.39691824421916666</v>
      </c>
      <c r="C939" s="17">
        <f t="shared" si="14"/>
        <v>45603</v>
      </c>
      <c r="D939" s="17"/>
      <c r="J939" s="2" t="s">
        <v>1196</v>
      </c>
    </row>
    <row r="940" spans="1:10" x14ac:dyDescent="0.25">
      <c r="A940" s="18" t="s">
        <v>1686</v>
      </c>
      <c r="B940">
        <v>0.39695563809149226</v>
      </c>
      <c r="C940" s="17">
        <f t="shared" si="14"/>
        <v>45604</v>
      </c>
      <c r="D940" s="17"/>
      <c r="J940" s="2" t="s">
        <v>1197</v>
      </c>
    </row>
    <row r="941" spans="1:10" x14ac:dyDescent="0.25">
      <c r="A941" s="18" t="s">
        <v>346</v>
      </c>
      <c r="B941">
        <v>0.39752349215665828</v>
      </c>
      <c r="C941" s="17">
        <f t="shared" si="14"/>
        <v>45605</v>
      </c>
      <c r="D941" s="17"/>
      <c r="J941" s="2" t="s">
        <v>1198</v>
      </c>
    </row>
    <row r="942" spans="1:10" x14ac:dyDescent="0.25">
      <c r="A942" s="18" t="s">
        <v>441</v>
      </c>
      <c r="B942">
        <v>0.39805625874979289</v>
      </c>
      <c r="C942" s="17">
        <f t="shared" si="14"/>
        <v>45606</v>
      </c>
      <c r="D942" s="17"/>
      <c r="J942" s="2" t="s">
        <v>1199</v>
      </c>
    </row>
    <row r="943" spans="1:10" x14ac:dyDescent="0.25">
      <c r="A943" s="18" t="s">
        <v>630</v>
      </c>
      <c r="B943">
        <v>0.3983216669716374</v>
      </c>
      <c r="C943" s="17">
        <f t="shared" si="14"/>
        <v>45607</v>
      </c>
      <c r="D943" s="17"/>
      <c r="J943" s="2" t="s">
        <v>1200</v>
      </c>
    </row>
    <row r="944" spans="1:10" x14ac:dyDescent="0.25">
      <c r="A944" s="18" t="s">
        <v>496</v>
      </c>
      <c r="B944">
        <v>0.399211804885378</v>
      </c>
      <c r="C944" s="17">
        <f t="shared" si="14"/>
        <v>45608</v>
      </c>
      <c r="D944" s="17"/>
      <c r="J944" s="2" t="s">
        <v>1201</v>
      </c>
    </row>
    <row r="945" spans="1:10" x14ac:dyDescent="0.25">
      <c r="A945" s="18" t="s">
        <v>241</v>
      </c>
      <c r="B945">
        <v>0.39964126499578323</v>
      </c>
      <c r="C945" s="17">
        <f t="shared" si="14"/>
        <v>45609</v>
      </c>
      <c r="D945" s="17"/>
      <c r="J945" s="2" t="s">
        <v>1202</v>
      </c>
    </row>
    <row r="946" spans="1:10" x14ac:dyDescent="0.25">
      <c r="A946" s="18" t="s">
        <v>1599</v>
      </c>
      <c r="B946">
        <v>0.40155253542869163</v>
      </c>
      <c r="C946" s="17">
        <f t="shared" si="14"/>
        <v>45610</v>
      </c>
      <c r="D946" s="17"/>
      <c r="J946" s="2" t="s">
        <v>1203</v>
      </c>
    </row>
    <row r="947" spans="1:10" x14ac:dyDescent="0.25">
      <c r="A947" s="18" t="s">
        <v>1762</v>
      </c>
      <c r="B947">
        <v>0.40223849689534619</v>
      </c>
      <c r="C947" s="17">
        <f t="shared" si="14"/>
        <v>45611</v>
      </c>
      <c r="D947" s="17"/>
      <c r="J947" s="2" t="s">
        <v>1204</v>
      </c>
    </row>
    <row r="948" spans="1:10" x14ac:dyDescent="0.25">
      <c r="A948" s="18" t="s">
        <v>1571</v>
      </c>
      <c r="B948">
        <v>0.40230574224617666</v>
      </c>
      <c r="C948" s="17">
        <f t="shared" si="14"/>
        <v>45612</v>
      </c>
      <c r="D948" s="17"/>
      <c r="J948" s="2" t="s">
        <v>1205</v>
      </c>
    </row>
    <row r="949" spans="1:10" x14ac:dyDescent="0.25">
      <c r="A949" s="18" t="s">
        <v>1689</v>
      </c>
      <c r="B949">
        <v>0.40235257436060357</v>
      </c>
      <c r="C949" s="17">
        <f t="shared" si="14"/>
        <v>45613</v>
      </c>
      <c r="D949" s="17"/>
      <c r="J949" s="2" t="s">
        <v>1206</v>
      </c>
    </row>
    <row r="950" spans="1:10" x14ac:dyDescent="0.25">
      <c r="A950" s="18" t="s">
        <v>2311</v>
      </c>
      <c r="B950">
        <v>0.4025107215891901</v>
      </c>
      <c r="C950" s="17">
        <f t="shared" si="14"/>
        <v>45614</v>
      </c>
      <c r="D950" s="17"/>
      <c r="J950" s="2" t="s">
        <v>1207</v>
      </c>
    </row>
    <row r="951" spans="1:10" x14ac:dyDescent="0.25">
      <c r="A951" s="18" t="s">
        <v>1010</v>
      </c>
      <c r="B951">
        <v>0.4030215615623951</v>
      </c>
      <c r="C951" s="17">
        <f t="shared" si="14"/>
        <v>45615</v>
      </c>
      <c r="D951" s="17"/>
      <c r="J951" s="2" t="s">
        <v>1208</v>
      </c>
    </row>
    <row r="952" spans="1:10" x14ac:dyDescent="0.25">
      <c r="A952" s="18" t="s">
        <v>388</v>
      </c>
      <c r="B952">
        <v>0.40309394607410298</v>
      </c>
      <c r="C952" s="17">
        <f t="shared" si="14"/>
        <v>45616</v>
      </c>
      <c r="D952" s="17"/>
      <c r="J952" s="2" t="s">
        <v>1209</v>
      </c>
    </row>
    <row r="953" spans="1:10" x14ac:dyDescent="0.25">
      <c r="A953" s="18" t="s">
        <v>1912</v>
      </c>
      <c r="B953">
        <v>0.40342210331786521</v>
      </c>
      <c r="C953" s="17">
        <f t="shared" si="14"/>
        <v>45617</v>
      </c>
      <c r="D953" s="17"/>
      <c r="J953" s="2" t="s">
        <v>1210</v>
      </c>
    </row>
    <row r="954" spans="1:10" x14ac:dyDescent="0.25">
      <c r="A954" s="18" t="s">
        <v>480</v>
      </c>
      <c r="B954">
        <v>0.4055960858558445</v>
      </c>
      <c r="C954" s="17">
        <f t="shared" si="14"/>
        <v>45618</v>
      </c>
      <c r="D954" s="17"/>
      <c r="J954" s="2" t="s">
        <v>1211</v>
      </c>
    </row>
    <row r="955" spans="1:10" x14ac:dyDescent="0.25">
      <c r="A955" s="18" t="s">
        <v>620</v>
      </c>
      <c r="B955">
        <v>0.40583079866238148</v>
      </c>
      <c r="C955" s="17">
        <f t="shared" si="14"/>
        <v>45619</v>
      </c>
      <c r="D955" s="17"/>
      <c r="J955" s="2" t="s">
        <v>73</v>
      </c>
    </row>
    <row r="956" spans="1:10" x14ac:dyDescent="0.25">
      <c r="A956" s="18" t="s">
        <v>1976</v>
      </c>
      <c r="B956">
        <v>0.40735864795462573</v>
      </c>
      <c r="C956" s="17">
        <f t="shared" si="14"/>
        <v>45620</v>
      </c>
      <c r="D956" s="17"/>
      <c r="J956" s="2" t="s">
        <v>287</v>
      </c>
    </row>
    <row r="957" spans="1:10" x14ac:dyDescent="0.25">
      <c r="A957" s="18" t="s">
        <v>750</v>
      </c>
      <c r="B957">
        <v>0.40828011650524365</v>
      </c>
      <c r="C957" s="17">
        <f t="shared" si="14"/>
        <v>45621</v>
      </c>
      <c r="D957" s="17"/>
      <c r="J957" s="2" t="s">
        <v>1212</v>
      </c>
    </row>
    <row r="958" spans="1:10" x14ac:dyDescent="0.25">
      <c r="A958" s="18" t="s">
        <v>408</v>
      </c>
      <c r="B958">
        <v>0.40854558649278816</v>
      </c>
      <c r="C958" s="17">
        <f t="shared" si="14"/>
        <v>45622</v>
      </c>
      <c r="D958" s="17"/>
      <c r="J958" s="2" t="s">
        <v>1213</v>
      </c>
    </row>
    <row r="959" spans="1:10" x14ac:dyDescent="0.25">
      <c r="A959" s="18" t="s">
        <v>2161</v>
      </c>
      <c r="B959">
        <v>0.40910840782563762</v>
      </c>
      <c r="C959" s="17">
        <f t="shared" si="14"/>
        <v>45623</v>
      </c>
      <c r="D959" s="17"/>
      <c r="J959" s="2" t="s">
        <v>1214</v>
      </c>
    </row>
    <row r="960" spans="1:10" x14ac:dyDescent="0.25">
      <c r="A960" s="18" t="s">
        <v>1704</v>
      </c>
      <c r="B960">
        <v>0.4114234745873433</v>
      </c>
      <c r="C960" s="17">
        <f t="shared" si="14"/>
        <v>45624</v>
      </c>
      <c r="D960" s="17"/>
      <c r="J960" s="2" t="s">
        <v>1215</v>
      </c>
    </row>
    <row r="961" spans="1:10" x14ac:dyDescent="0.25">
      <c r="A961" s="18" t="s">
        <v>2270</v>
      </c>
      <c r="B961">
        <v>0.41210617207998812</v>
      </c>
      <c r="C961" s="17">
        <f t="shared" si="14"/>
        <v>45625</v>
      </c>
      <c r="D961" s="17"/>
      <c r="J961" s="2" t="s">
        <v>122</v>
      </c>
    </row>
    <row r="962" spans="1:10" x14ac:dyDescent="0.25">
      <c r="A962" s="18" t="s">
        <v>2217</v>
      </c>
      <c r="B962">
        <v>0.4122811918292969</v>
      </c>
      <c r="C962" s="17">
        <f t="shared" si="14"/>
        <v>45626</v>
      </c>
      <c r="D962" s="17"/>
      <c r="J962" s="2" t="s">
        <v>1216</v>
      </c>
    </row>
    <row r="963" spans="1:10" x14ac:dyDescent="0.25">
      <c r="A963" s="18" t="s">
        <v>1457</v>
      </c>
      <c r="B963">
        <v>0.41281994812702738</v>
      </c>
      <c r="C963" s="17">
        <f t="shared" si="14"/>
        <v>45627</v>
      </c>
      <c r="D963" s="17"/>
      <c r="J963" s="2" t="s">
        <v>195</v>
      </c>
    </row>
    <row r="964" spans="1:10" x14ac:dyDescent="0.25">
      <c r="A964" s="18" t="s">
        <v>1416</v>
      </c>
      <c r="B964">
        <v>0.41301801321816378</v>
      </c>
      <c r="C964" s="17">
        <f t="shared" ref="C964:C1027" si="15">C963+1</f>
        <v>45628</v>
      </c>
      <c r="D964" s="17"/>
      <c r="J964" s="2" t="s">
        <v>1217</v>
      </c>
    </row>
    <row r="965" spans="1:10" x14ac:dyDescent="0.25">
      <c r="A965" s="18" t="s">
        <v>1113</v>
      </c>
      <c r="B965">
        <v>0.41319852345681007</v>
      </c>
      <c r="C965" s="17">
        <f t="shared" si="15"/>
        <v>45629</v>
      </c>
      <c r="D965" s="17"/>
      <c r="J965" s="2" t="s">
        <v>1218</v>
      </c>
    </row>
    <row r="966" spans="1:10" x14ac:dyDescent="0.25">
      <c r="A966" s="18" t="s">
        <v>998</v>
      </c>
      <c r="B966">
        <v>0.4134079256636316</v>
      </c>
      <c r="C966" s="17">
        <f t="shared" si="15"/>
        <v>45630</v>
      </c>
      <c r="D966" s="17"/>
      <c r="J966" s="2" t="s">
        <v>1219</v>
      </c>
    </row>
    <row r="967" spans="1:10" x14ac:dyDescent="0.25">
      <c r="A967" s="18" t="s">
        <v>112</v>
      </c>
      <c r="B967">
        <v>0.41450917168112977</v>
      </c>
      <c r="C967" s="17">
        <f t="shared" si="15"/>
        <v>45631</v>
      </c>
      <c r="D967" s="17"/>
      <c r="J967" s="2" t="s">
        <v>1220</v>
      </c>
    </row>
    <row r="968" spans="1:10" x14ac:dyDescent="0.25">
      <c r="A968" s="18" t="s">
        <v>1264</v>
      </c>
      <c r="B968">
        <v>0.41497288483477979</v>
      </c>
      <c r="C968" s="17">
        <f t="shared" si="15"/>
        <v>45632</v>
      </c>
      <c r="D968" s="17"/>
      <c r="J968" s="2" t="s">
        <v>390</v>
      </c>
    </row>
    <row r="969" spans="1:10" x14ac:dyDescent="0.25">
      <c r="A969" s="18" t="s">
        <v>1547</v>
      </c>
      <c r="B969">
        <v>0.41527502148516937</v>
      </c>
      <c r="C969" s="17">
        <f t="shared" si="15"/>
        <v>45633</v>
      </c>
      <c r="D969" s="17"/>
      <c r="J969" s="2" t="s">
        <v>1221</v>
      </c>
    </row>
    <row r="970" spans="1:10" x14ac:dyDescent="0.25">
      <c r="A970" s="18" t="s">
        <v>893</v>
      </c>
      <c r="B970">
        <v>0.41672053707239387</v>
      </c>
      <c r="C970" s="17">
        <f t="shared" si="15"/>
        <v>45634</v>
      </c>
      <c r="D970" s="17"/>
      <c r="J970" s="2" t="s">
        <v>1222</v>
      </c>
    </row>
    <row r="971" spans="1:10" x14ac:dyDescent="0.25">
      <c r="A971" s="18" t="s">
        <v>2119</v>
      </c>
      <c r="B971">
        <v>0.41723731309877565</v>
      </c>
      <c r="C971" s="17">
        <f t="shared" si="15"/>
        <v>45635</v>
      </c>
      <c r="D971" s="17"/>
      <c r="J971" s="2" t="s">
        <v>1223</v>
      </c>
    </row>
    <row r="972" spans="1:10" x14ac:dyDescent="0.25">
      <c r="A972" s="18" t="s">
        <v>111</v>
      </c>
      <c r="B972">
        <v>0.41880028173174966</v>
      </c>
      <c r="C972" s="17">
        <f t="shared" si="15"/>
        <v>45636</v>
      </c>
      <c r="D972" s="17"/>
      <c r="J972" s="2" t="s">
        <v>1224</v>
      </c>
    </row>
    <row r="973" spans="1:10" x14ac:dyDescent="0.25">
      <c r="A973" s="18" t="s">
        <v>1447</v>
      </c>
      <c r="B973">
        <v>0.41946077845741903</v>
      </c>
      <c r="C973" s="17">
        <f t="shared" si="15"/>
        <v>45637</v>
      </c>
      <c r="D973" s="17"/>
      <c r="J973" s="2" t="s">
        <v>1225</v>
      </c>
    </row>
    <row r="974" spans="1:10" x14ac:dyDescent="0.25">
      <c r="A974" s="18" t="s">
        <v>1408</v>
      </c>
      <c r="B974">
        <v>0.41969841738710956</v>
      </c>
      <c r="C974" s="17">
        <f t="shared" si="15"/>
        <v>45638</v>
      </c>
      <c r="D974" s="17"/>
      <c r="J974" s="2" t="s">
        <v>1226</v>
      </c>
    </row>
    <row r="975" spans="1:10" x14ac:dyDescent="0.25">
      <c r="A975" s="18" t="s">
        <v>1940</v>
      </c>
      <c r="B975">
        <v>0.41970180166724946</v>
      </c>
      <c r="C975" s="17">
        <f t="shared" si="15"/>
        <v>45639</v>
      </c>
      <c r="D975" s="17"/>
      <c r="J975" s="2" t="s">
        <v>1227</v>
      </c>
    </row>
    <row r="976" spans="1:10" x14ac:dyDescent="0.25">
      <c r="A976" s="18" t="s">
        <v>1698</v>
      </c>
      <c r="B976">
        <v>0.42050104486209949</v>
      </c>
      <c r="C976" s="17">
        <f t="shared" si="15"/>
        <v>45640</v>
      </c>
      <c r="D976" s="17"/>
      <c r="J976" s="2" t="s">
        <v>275</v>
      </c>
    </row>
    <row r="977" spans="1:10" x14ac:dyDescent="0.25">
      <c r="A977" s="18" t="s">
        <v>828</v>
      </c>
      <c r="B977">
        <v>0.42116130350953351</v>
      </c>
      <c r="C977" s="17">
        <f t="shared" si="15"/>
        <v>45641</v>
      </c>
      <c r="D977" s="17"/>
      <c r="J977" s="2" t="s">
        <v>1228</v>
      </c>
    </row>
    <row r="978" spans="1:10" x14ac:dyDescent="0.25">
      <c r="A978" s="18" t="s">
        <v>1427</v>
      </c>
      <c r="B978">
        <v>0.42135068847160884</v>
      </c>
      <c r="C978" s="17">
        <f t="shared" si="15"/>
        <v>45642</v>
      </c>
      <c r="D978" s="17"/>
      <c r="J978" s="2" t="s">
        <v>1229</v>
      </c>
    </row>
    <row r="979" spans="1:10" x14ac:dyDescent="0.25">
      <c r="A979" s="18" t="s">
        <v>1287</v>
      </c>
      <c r="B979">
        <v>0.42161397058286687</v>
      </c>
      <c r="C979" s="17">
        <f t="shared" si="15"/>
        <v>45643</v>
      </c>
      <c r="D979" s="17"/>
      <c r="J979" s="2" t="s">
        <v>1230</v>
      </c>
    </row>
    <row r="980" spans="1:10" x14ac:dyDescent="0.25">
      <c r="A980" s="18" t="s">
        <v>151</v>
      </c>
      <c r="B980">
        <v>0.42177857383749984</v>
      </c>
      <c r="C980" s="17">
        <f t="shared" si="15"/>
        <v>45644</v>
      </c>
      <c r="D980" s="17"/>
      <c r="J980" s="2" t="s">
        <v>1231</v>
      </c>
    </row>
    <row r="981" spans="1:10" x14ac:dyDescent="0.25">
      <c r="A981" s="18" t="s">
        <v>129</v>
      </c>
      <c r="B981">
        <v>0.4218154188460107</v>
      </c>
      <c r="C981" s="17">
        <f t="shared" si="15"/>
        <v>45645</v>
      </c>
      <c r="D981" s="17"/>
      <c r="J981" s="2" t="s">
        <v>63</v>
      </c>
    </row>
    <row r="982" spans="1:10" x14ac:dyDescent="0.25">
      <c r="A982" s="18" t="s">
        <v>351</v>
      </c>
      <c r="B982">
        <v>0.42182127976252448</v>
      </c>
      <c r="C982" s="17">
        <f t="shared" si="15"/>
        <v>45646</v>
      </c>
      <c r="D982" s="17"/>
      <c r="J982" s="2" t="s">
        <v>1232</v>
      </c>
    </row>
    <row r="983" spans="1:10" x14ac:dyDescent="0.25">
      <c r="A983" s="18" t="s">
        <v>170</v>
      </c>
      <c r="B983">
        <v>0.42209961122550321</v>
      </c>
      <c r="C983" s="17">
        <f t="shared" si="15"/>
        <v>45647</v>
      </c>
      <c r="D983" s="17"/>
      <c r="J983" s="2" t="s">
        <v>1233</v>
      </c>
    </row>
    <row r="984" spans="1:10" x14ac:dyDescent="0.25">
      <c r="A984" s="18" t="s">
        <v>2127</v>
      </c>
      <c r="B984">
        <v>0.42281012597941203</v>
      </c>
      <c r="C984" s="17">
        <f t="shared" si="15"/>
        <v>45648</v>
      </c>
      <c r="D984" s="17"/>
      <c r="J984" s="2" t="s">
        <v>1234</v>
      </c>
    </row>
    <row r="985" spans="1:10" x14ac:dyDescent="0.25">
      <c r="A985" s="18" t="s">
        <v>464</v>
      </c>
      <c r="B985">
        <v>0.42291935297212102</v>
      </c>
      <c r="C985" s="17">
        <f t="shared" si="15"/>
        <v>45649</v>
      </c>
      <c r="D985" s="17"/>
      <c r="J985" s="2" t="s">
        <v>1235</v>
      </c>
    </row>
    <row r="986" spans="1:10" x14ac:dyDescent="0.25">
      <c r="A986" s="18" t="s">
        <v>993</v>
      </c>
      <c r="B986">
        <v>0.42305176538801625</v>
      </c>
      <c r="C986" s="17">
        <f t="shared" si="15"/>
        <v>45650</v>
      </c>
      <c r="D986" s="17"/>
      <c r="J986" s="2" t="s">
        <v>120</v>
      </c>
    </row>
    <row r="987" spans="1:10" x14ac:dyDescent="0.25">
      <c r="A987" s="18" t="s">
        <v>1340</v>
      </c>
      <c r="B987">
        <v>0.42475439958263383</v>
      </c>
      <c r="C987" s="17">
        <f t="shared" si="15"/>
        <v>45651</v>
      </c>
      <c r="D987" s="17"/>
      <c r="J987" s="2" t="s">
        <v>382</v>
      </c>
    </row>
    <row r="988" spans="1:10" x14ac:dyDescent="0.25">
      <c r="A988" s="18" t="s">
        <v>980</v>
      </c>
      <c r="B988">
        <v>0.42603310358982804</v>
      </c>
      <c r="C988" s="17">
        <f t="shared" si="15"/>
        <v>45652</v>
      </c>
      <c r="D988" s="17"/>
      <c r="J988" s="2" t="s">
        <v>437</v>
      </c>
    </row>
    <row r="989" spans="1:10" x14ac:dyDescent="0.25">
      <c r="A989" s="18" t="s">
        <v>1650</v>
      </c>
      <c r="B989">
        <v>0.42654891406891804</v>
      </c>
      <c r="C989" s="17">
        <f t="shared" si="15"/>
        <v>45653</v>
      </c>
      <c r="D989" s="17"/>
      <c r="J989" s="2" t="s">
        <v>1236</v>
      </c>
    </row>
    <row r="990" spans="1:10" x14ac:dyDescent="0.25">
      <c r="A990" s="18" t="s">
        <v>1285</v>
      </c>
      <c r="B990">
        <v>0.42675036853854709</v>
      </c>
      <c r="C990" s="17">
        <f t="shared" si="15"/>
        <v>45654</v>
      </c>
      <c r="D990" s="17"/>
      <c r="J990" s="2" t="s">
        <v>127</v>
      </c>
    </row>
    <row r="991" spans="1:10" x14ac:dyDescent="0.25">
      <c r="A991" s="18" t="s">
        <v>1561</v>
      </c>
      <c r="B991">
        <v>0.4272984310699709</v>
      </c>
      <c r="C991" s="17">
        <f t="shared" si="15"/>
        <v>45655</v>
      </c>
      <c r="D991" s="17"/>
      <c r="J991" s="2" t="s">
        <v>77</v>
      </c>
    </row>
    <row r="992" spans="1:10" x14ac:dyDescent="0.25">
      <c r="A992" s="18" t="s">
        <v>719</v>
      </c>
      <c r="B992">
        <v>0.42732723433091135</v>
      </c>
      <c r="C992" s="17">
        <f t="shared" si="15"/>
        <v>45656</v>
      </c>
      <c r="D992" s="17"/>
      <c r="J992" s="2" t="s">
        <v>6</v>
      </c>
    </row>
    <row r="993" spans="1:10" x14ac:dyDescent="0.25">
      <c r="A993" s="18" t="s">
        <v>498</v>
      </c>
      <c r="B993">
        <v>0.42815162522866623</v>
      </c>
      <c r="C993" s="17">
        <f t="shared" si="15"/>
        <v>45657</v>
      </c>
      <c r="D993" s="17"/>
      <c r="J993" s="2" t="s">
        <v>234</v>
      </c>
    </row>
    <row r="994" spans="1:10" x14ac:dyDescent="0.25">
      <c r="A994" s="18" t="s">
        <v>516</v>
      </c>
      <c r="B994">
        <v>0.42882463765195999</v>
      </c>
      <c r="C994" s="17">
        <f t="shared" si="15"/>
        <v>45658</v>
      </c>
      <c r="D994" s="17"/>
      <c r="J994" s="2" t="s">
        <v>1237</v>
      </c>
    </row>
    <row r="995" spans="1:10" x14ac:dyDescent="0.25">
      <c r="A995" s="18" t="s">
        <v>661</v>
      </c>
      <c r="B995">
        <v>0.42889965212669867</v>
      </c>
      <c r="C995" s="17">
        <f t="shared" si="15"/>
        <v>45659</v>
      </c>
      <c r="D995" s="17"/>
      <c r="J995" s="2" t="s">
        <v>1238</v>
      </c>
    </row>
    <row r="996" spans="1:10" x14ac:dyDescent="0.25">
      <c r="A996" s="18" t="s">
        <v>1354</v>
      </c>
      <c r="B996">
        <v>0.42941230462816027</v>
      </c>
      <c r="C996" s="17">
        <f t="shared" si="15"/>
        <v>45660</v>
      </c>
      <c r="D996" s="17"/>
      <c r="J996" s="2" t="s">
        <v>1239</v>
      </c>
    </row>
    <row r="997" spans="1:10" x14ac:dyDescent="0.25">
      <c r="A997" s="18" t="s">
        <v>1027</v>
      </c>
      <c r="B997">
        <v>0.4298561085805872</v>
      </c>
      <c r="C997" s="17">
        <f t="shared" si="15"/>
        <v>45661</v>
      </c>
      <c r="D997" s="17"/>
      <c r="J997" s="2" t="s">
        <v>1240</v>
      </c>
    </row>
    <row r="998" spans="1:10" x14ac:dyDescent="0.25">
      <c r="A998" s="18" t="s">
        <v>110</v>
      </c>
      <c r="B998">
        <v>0.4302555234521851</v>
      </c>
      <c r="C998" s="17">
        <f t="shared" si="15"/>
        <v>45662</v>
      </c>
      <c r="D998" s="17"/>
      <c r="J998" s="2" t="s">
        <v>1241</v>
      </c>
    </row>
    <row r="999" spans="1:10" x14ac:dyDescent="0.25">
      <c r="A999" s="18" t="s">
        <v>1102</v>
      </c>
      <c r="B999">
        <v>0.43174320161027291</v>
      </c>
      <c r="C999" s="17">
        <f t="shared" si="15"/>
        <v>45663</v>
      </c>
      <c r="D999" s="17"/>
      <c r="J999" s="2" t="s">
        <v>1242</v>
      </c>
    </row>
    <row r="1000" spans="1:10" x14ac:dyDescent="0.25">
      <c r="A1000" s="18" t="s">
        <v>1748</v>
      </c>
      <c r="B1000">
        <v>0.43200247211290088</v>
      </c>
      <c r="C1000" s="17">
        <f t="shared" si="15"/>
        <v>45664</v>
      </c>
      <c r="D1000" s="17"/>
      <c r="J1000" s="2" t="s">
        <v>1243</v>
      </c>
    </row>
    <row r="1001" spans="1:10" x14ac:dyDescent="0.25">
      <c r="A1001" s="18" t="s">
        <v>1945</v>
      </c>
      <c r="B1001">
        <v>0.43264409469724341</v>
      </c>
      <c r="C1001" s="17">
        <f t="shared" si="15"/>
        <v>45665</v>
      </c>
      <c r="D1001" s="17"/>
      <c r="J1001" s="2" t="s">
        <v>375</v>
      </c>
    </row>
    <row r="1002" spans="1:10" x14ac:dyDescent="0.25">
      <c r="A1002" s="18" t="s">
        <v>2174</v>
      </c>
      <c r="B1002">
        <v>0.43272023758396672</v>
      </c>
      <c r="C1002" s="17">
        <f t="shared" si="15"/>
        <v>45666</v>
      </c>
      <c r="D1002" s="17"/>
      <c r="J1002" s="2" t="s">
        <v>1244</v>
      </c>
    </row>
    <row r="1003" spans="1:10" x14ac:dyDescent="0.25">
      <c r="A1003" s="18" t="s">
        <v>837</v>
      </c>
      <c r="B1003">
        <v>0.4327696200038158</v>
      </c>
      <c r="C1003" s="17">
        <f t="shared" si="15"/>
        <v>45667</v>
      </c>
      <c r="D1003" s="17"/>
      <c r="J1003" s="2" t="s">
        <v>179</v>
      </c>
    </row>
    <row r="1004" spans="1:10" x14ac:dyDescent="0.25">
      <c r="A1004" s="18" t="s">
        <v>2229</v>
      </c>
      <c r="B1004">
        <v>0.43343805765924537</v>
      </c>
      <c r="C1004" s="17">
        <f t="shared" si="15"/>
        <v>45668</v>
      </c>
      <c r="D1004" s="17"/>
      <c r="J1004" s="2" t="s">
        <v>133</v>
      </c>
    </row>
    <row r="1005" spans="1:10" x14ac:dyDescent="0.25">
      <c r="A1005" s="18" t="s">
        <v>2294</v>
      </c>
      <c r="B1005">
        <v>0.43366869097567651</v>
      </c>
      <c r="C1005" s="17">
        <f t="shared" si="15"/>
        <v>45669</v>
      </c>
      <c r="D1005" s="17"/>
      <c r="J1005" s="2" t="s">
        <v>1245</v>
      </c>
    </row>
    <row r="1006" spans="1:10" x14ac:dyDescent="0.25">
      <c r="A1006" s="18" t="s">
        <v>2272</v>
      </c>
      <c r="B1006">
        <v>0.43481365461761501</v>
      </c>
      <c r="C1006" s="17">
        <f t="shared" si="15"/>
        <v>45670</v>
      </c>
      <c r="D1006" s="17"/>
      <c r="J1006" s="2" t="s">
        <v>329</v>
      </c>
    </row>
    <row r="1007" spans="1:10" x14ac:dyDescent="0.25">
      <c r="A1007" s="18" t="s">
        <v>1958</v>
      </c>
      <c r="B1007">
        <v>0.43536314672208198</v>
      </c>
      <c r="C1007" s="17">
        <f t="shared" si="15"/>
        <v>45671</v>
      </c>
      <c r="D1007" s="17"/>
      <c r="J1007" s="2" t="s">
        <v>1246</v>
      </c>
    </row>
    <row r="1008" spans="1:10" x14ac:dyDescent="0.25">
      <c r="A1008" s="18" t="s">
        <v>1688</v>
      </c>
      <c r="B1008">
        <v>0.43544181594184317</v>
      </c>
      <c r="C1008" s="17">
        <f t="shared" si="15"/>
        <v>45672</v>
      </c>
      <c r="D1008" s="17"/>
      <c r="J1008" s="2" t="s">
        <v>1247</v>
      </c>
    </row>
    <row r="1009" spans="1:10" x14ac:dyDescent="0.25">
      <c r="A1009" s="18" t="s">
        <v>794</v>
      </c>
      <c r="B1009">
        <v>0.43597138134093805</v>
      </c>
      <c r="C1009" s="17">
        <f t="shared" si="15"/>
        <v>45673</v>
      </c>
      <c r="D1009" s="17"/>
      <c r="J1009" s="2" t="s">
        <v>1248</v>
      </c>
    </row>
    <row r="1010" spans="1:10" x14ac:dyDescent="0.25">
      <c r="A1010" s="18" t="s">
        <v>1591</v>
      </c>
      <c r="B1010">
        <v>0.43672189280673257</v>
      </c>
      <c r="C1010" s="17">
        <f t="shared" si="15"/>
        <v>45674</v>
      </c>
      <c r="D1010" s="17"/>
      <c r="J1010" s="2" t="s">
        <v>197</v>
      </c>
    </row>
    <row r="1011" spans="1:10" x14ac:dyDescent="0.25">
      <c r="A1011" s="18" t="s">
        <v>1415</v>
      </c>
      <c r="B1011">
        <v>0.43816689266587816</v>
      </c>
      <c r="C1011" s="17">
        <f t="shared" si="15"/>
        <v>45675</v>
      </c>
      <c r="D1011" s="17"/>
      <c r="J1011" s="2" t="s">
        <v>1249</v>
      </c>
    </row>
    <row r="1012" spans="1:10" x14ac:dyDescent="0.25">
      <c r="A1012" s="18" t="s">
        <v>103</v>
      </c>
      <c r="B1012">
        <v>0.43826486963791988</v>
      </c>
      <c r="C1012" s="17">
        <f t="shared" si="15"/>
        <v>45676</v>
      </c>
      <c r="D1012" s="17"/>
      <c r="J1012" s="2" t="s">
        <v>1250</v>
      </c>
    </row>
    <row r="1013" spans="1:10" x14ac:dyDescent="0.25">
      <c r="A1013" s="18" t="s">
        <v>1924</v>
      </c>
      <c r="B1013">
        <v>0.43863799780558888</v>
      </c>
      <c r="C1013" s="17">
        <f t="shared" si="15"/>
        <v>45677</v>
      </c>
      <c r="D1013" s="17"/>
      <c r="J1013" s="2" t="s">
        <v>215</v>
      </c>
    </row>
    <row r="1014" spans="1:10" x14ac:dyDescent="0.25">
      <c r="A1014" s="18" t="s">
        <v>1783</v>
      </c>
      <c r="B1014">
        <v>0.43900901208615462</v>
      </c>
      <c r="C1014" s="17">
        <f t="shared" si="15"/>
        <v>45678</v>
      </c>
      <c r="D1014" s="17"/>
      <c r="J1014" s="2" t="s">
        <v>1251</v>
      </c>
    </row>
    <row r="1015" spans="1:10" x14ac:dyDescent="0.25">
      <c r="A1015" s="18" t="s">
        <v>512</v>
      </c>
      <c r="B1015">
        <v>0.44024067874847739</v>
      </c>
      <c r="C1015" s="17">
        <f t="shared" si="15"/>
        <v>45679</v>
      </c>
      <c r="D1015" s="17"/>
      <c r="J1015" s="2" t="s">
        <v>1252</v>
      </c>
    </row>
    <row r="1016" spans="1:10" x14ac:dyDescent="0.25">
      <c r="A1016" s="18" t="s">
        <v>2247</v>
      </c>
      <c r="B1016">
        <v>0.44059421233969087</v>
      </c>
      <c r="C1016" s="17">
        <f t="shared" si="15"/>
        <v>45680</v>
      </c>
      <c r="D1016" s="17"/>
      <c r="J1016" s="2" t="s">
        <v>1253</v>
      </c>
    </row>
    <row r="1017" spans="1:10" x14ac:dyDescent="0.25">
      <c r="A1017" s="18" t="s">
        <v>795</v>
      </c>
      <c r="B1017">
        <v>0.44061923987977458</v>
      </c>
      <c r="C1017" s="17">
        <f t="shared" si="15"/>
        <v>45681</v>
      </c>
      <c r="D1017" s="17"/>
      <c r="J1017" s="2" t="s">
        <v>1254</v>
      </c>
    </row>
    <row r="1018" spans="1:10" x14ac:dyDescent="0.25">
      <c r="A1018" s="18" t="s">
        <v>430</v>
      </c>
      <c r="B1018">
        <v>0.44066068192548302</v>
      </c>
      <c r="C1018" s="17">
        <f t="shared" si="15"/>
        <v>45682</v>
      </c>
      <c r="D1018" s="17"/>
      <c r="J1018" s="2" t="s">
        <v>331</v>
      </c>
    </row>
    <row r="1019" spans="1:10" x14ac:dyDescent="0.25">
      <c r="A1019" s="18" t="s">
        <v>906</v>
      </c>
      <c r="B1019">
        <v>0.44077798832426585</v>
      </c>
      <c r="C1019" s="17">
        <f t="shared" si="15"/>
        <v>45683</v>
      </c>
      <c r="D1019" s="17"/>
      <c r="J1019" s="2" t="s">
        <v>1255</v>
      </c>
    </row>
    <row r="1020" spans="1:10" x14ac:dyDescent="0.25">
      <c r="A1020" s="18" t="s">
        <v>957</v>
      </c>
      <c r="B1020">
        <v>0.44116074318561749</v>
      </c>
      <c r="C1020" s="17">
        <f t="shared" si="15"/>
        <v>45684</v>
      </c>
      <c r="D1020" s="17"/>
      <c r="J1020" s="2" t="s">
        <v>1256</v>
      </c>
    </row>
    <row r="1021" spans="1:10" x14ac:dyDescent="0.25">
      <c r="A1021" s="18" t="s">
        <v>1559</v>
      </c>
      <c r="B1021">
        <v>0.44231440552626111</v>
      </c>
      <c r="C1021" s="17">
        <f t="shared" si="15"/>
        <v>45685</v>
      </c>
      <c r="D1021" s="17"/>
      <c r="J1021" s="2" t="s">
        <v>1257</v>
      </c>
    </row>
    <row r="1022" spans="1:10" x14ac:dyDescent="0.25">
      <c r="A1022" s="18" t="s">
        <v>1907</v>
      </c>
      <c r="B1022">
        <v>0.44234997408162802</v>
      </c>
      <c r="C1022" s="17">
        <f t="shared" si="15"/>
        <v>45686</v>
      </c>
      <c r="D1022" s="17"/>
      <c r="J1022" s="2" t="s">
        <v>1258</v>
      </c>
    </row>
    <row r="1023" spans="1:10" x14ac:dyDescent="0.25">
      <c r="A1023" s="18" t="s">
        <v>1197</v>
      </c>
      <c r="B1023">
        <v>0.44311552152156408</v>
      </c>
      <c r="C1023" s="17">
        <f t="shared" si="15"/>
        <v>45687</v>
      </c>
      <c r="D1023" s="17"/>
      <c r="J1023" s="2" t="s">
        <v>1259</v>
      </c>
    </row>
    <row r="1024" spans="1:10" x14ac:dyDescent="0.25">
      <c r="A1024" s="18" t="s">
        <v>1663</v>
      </c>
      <c r="B1024">
        <v>0.44337377547963841</v>
      </c>
      <c r="C1024" s="17">
        <f t="shared" si="15"/>
        <v>45688</v>
      </c>
      <c r="D1024" s="17"/>
      <c r="J1024" s="2" t="s">
        <v>281</v>
      </c>
    </row>
    <row r="1025" spans="1:10" x14ac:dyDescent="0.25">
      <c r="A1025" s="18" t="s">
        <v>1251</v>
      </c>
      <c r="B1025">
        <v>0.4435467719353986</v>
      </c>
      <c r="C1025" s="17">
        <f t="shared" si="15"/>
        <v>45689</v>
      </c>
      <c r="D1025" s="17"/>
      <c r="J1025" s="2" t="s">
        <v>1260</v>
      </c>
    </row>
    <row r="1026" spans="1:10" x14ac:dyDescent="0.25">
      <c r="A1026" s="18" t="s">
        <v>1596</v>
      </c>
      <c r="B1026">
        <v>0.44369897358640753</v>
      </c>
      <c r="C1026" s="17">
        <f t="shared" si="15"/>
        <v>45690</v>
      </c>
      <c r="D1026" s="17"/>
      <c r="J1026" s="2" t="s">
        <v>1261</v>
      </c>
    </row>
    <row r="1027" spans="1:10" x14ac:dyDescent="0.25">
      <c r="A1027" s="18" t="s">
        <v>421</v>
      </c>
      <c r="B1027">
        <v>0.44472536640907478</v>
      </c>
      <c r="C1027" s="17">
        <f t="shared" si="15"/>
        <v>45691</v>
      </c>
      <c r="D1027" s="17"/>
      <c r="J1027" s="2" t="s">
        <v>1262</v>
      </c>
    </row>
    <row r="1028" spans="1:10" x14ac:dyDescent="0.25">
      <c r="A1028" s="18" t="s">
        <v>1367</v>
      </c>
      <c r="B1028">
        <v>0.44520452394662946</v>
      </c>
      <c r="C1028" s="17">
        <f t="shared" ref="C1028:C1091" si="16">C1027+1</f>
        <v>45692</v>
      </c>
      <c r="D1028" s="17"/>
      <c r="J1028" s="2" t="s">
        <v>1263</v>
      </c>
    </row>
    <row r="1029" spans="1:10" x14ac:dyDescent="0.25">
      <c r="A1029" s="18" t="s">
        <v>235</v>
      </c>
      <c r="B1029">
        <v>0.44571795674977721</v>
      </c>
      <c r="C1029" s="17">
        <f t="shared" si="16"/>
        <v>45693</v>
      </c>
      <c r="D1029" s="17"/>
      <c r="J1029" s="2" t="s">
        <v>52</v>
      </c>
    </row>
    <row r="1030" spans="1:10" x14ac:dyDescent="0.25">
      <c r="A1030" s="18" t="s">
        <v>1329</v>
      </c>
      <c r="B1030">
        <v>0.44618543892780027</v>
      </c>
      <c r="C1030" s="17">
        <f t="shared" si="16"/>
        <v>45694</v>
      </c>
      <c r="D1030" s="17"/>
      <c r="J1030" s="2" t="s">
        <v>1264</v>
      </c>
    </row>
    <row r="1031" spans="1:10" x14ac:dyDescent="0.25">
      <c r="A1031" s="18" t="s">
        <v>292</v>
      </c>
      <c r="B1031">
        <v>0.44723159692223857</v>
      </c>
      <c r="C1031" s="17">
        <f t="shared" si="16"/>
        <v>45695</v>
      </c>
      <c r="D1031" s="17"/>
      <c r="J1031" s="2" t="s">
        <v>1265</v>
      </c>
    </row>
    <row r="1032" spans="1:10" x14ac:dyDescent="0.25">
      <c r="A1032" s="18" t="s">
        <v>1205</v>
      </c>
      <c r="B1032">
        <v>0.44759750094342921</v>
      </c>
      <c r="C1032" s="17">
        <f t="shared" si="16"/>
        <v>45696</v>
      </c>
      <c r="D1032" s="17"/>
      <c r="J1032" s="2" t="s">
        <v>1266</v>
      </c>
    </row>
    <row r="1033" spans="1:10" x14ac:dyDescent="0.25">
      <c r="A1033" s="18" t="s">
        <v>1298</v>
      </c>
      <c r="B1033">
        <v>0.44834067287368262</v>
      </c>
      <c r="C1033" s="17">
        <f t="shared" si="16"/>
        <v>45697</v>
      </c>
      <c r="D1033" s="17"/>
      <c r="J1033" s="2" t="s">
        <v>1267</v>
      </c>
    </row>
    <row r="1034" spans="1:10" x14ac:dyDescent="0.25">
      <c r="A1034" s="18" t="s">
        <v>927</v>
      </c>
      <c r="B1034">
        <v>0.44848176130284378</v>
      </c>
      <c r="C1034" s="17">
        <f t="shared" si="16"/>
        <v>45698</v>
      </c>
      <c r="D1034" s="17"/>
      <c r="J1034" s="2" t="s">
        <v>101</v>
      </c>
    </row>
    <row r="1035" spans="1:10" x14ac:dyDescent="0.25">
      <c r="A1035" s="18" t="s">
        <v>1523</v>
      </c>
      <c r="B1035">
        <v>0.44900518972458081</v>
      </c>
      <c r="C1035" s="17">
        <f t="shared" si="16"/>
        <v>45699</v>
      </c>
      <c r="D1035" s="17"/>
      <c r="J1035" s="2" t="s">
        <v>1268</v>
      </c>
    </row>
    <row r="1036" spans="1:10" x14ac:dyDescent="0.25">
      <c r="A1036" s="18" t="s">
        <v>293</v>
      </c>
      <c r="B1036">
        <v>0.44920814582707769</v>
      </c>
      <c r="C1036" s="17">
        <f t="shared" si="16"/>
        <v>45700</v>
      </c>
      <c r="D1036" s="17"/>
      <c r="J1036" s="2" t="s">
        <v>1269</v>
      </c>
    </row>
    <row r="1037" spans="1:10" x14ac:dyDescent="0.25">
      <c r="A1037" s="18" t="s">
        <v>1854</v>
      </c>
      <c r="B1037">
        <v>0.44955778107484878</v>
      </c>
      <c r="C1037" s="17">
        <f t="shared" si="16"/>
        <v>45701</v>
      </c>
      <c r="D1037" s="17"/>
      <c r="J1037" s="2" t="s">
        <v>1270</v>
      </c>
    </row>
    <row r="1038" spans="1:10" x14ac:dyDescent="0.25">
      <c r="A1038" s="18" t="s">
        <v>429</v>
      </c>
      <c r="B1038">
        <v>0.44975408211182666</v>
      </c>
      <c r="C1038" s="17">
        <f t="shared" si="16"/>
        <v>45702</v>
      </c>
      <c r="D1038" s="17"/>
      <c r="J1038" s="2" t="s">
        <v>1271</v>
      </c>
    </row>
    <row r="1039" spans="1:10" x14ac:dyDescent="0.25">
      <c r="A1039" s="18" t="s">
        <v>1184</v>
      </c>
      <c r="B1039">
        <v>0.44985183342038393</v>
      </c>
      <c r="C1039" s="17">
        <f t="shared" si="16"/>
        <v>45703</v>
      </c>
      <c r="D1039" s="17"/>
      <c r="J1039" s="2" t="s">
        <v>1272</v>
      </c>
    </row>
    <row r="1040" spans="1:10" x14ac:dyDescent="0.25">
      <c r="A1040" s="18" t="s">
        <v>369</v>
      </c>
      <c r="B1040">
        <v>0.45072519752127138</v>
      </c>
      <c r="C1040" s="17">
        <f t="shared" si="16"/>
        <v>45704</v>
      </c>
      <c r="D1040" s="17"/>
      <c r="J1040" s="2" t="s">
        <v>1273</v>
      </c>
    </row>
    <row r="1041" spans="1:10" x14ac:dyDescent="0.25">
      <c r="A1041" s="18" t="s">
        <v>322</v>
      </c>
      <c r="B1041">
        <v>0.45115040650532101</v>
      </c>
      <c r="C1041" s="17">
        <f t="shared" si="16"/>
        <v>45705</v>
      </c>
      <c r="D1041" s="17"/>
      <c r="J1041" s="2" t="s">
        <v>1274</v>
      </c>
    </row>
    <row r="1042" spans="1:10" x14ac:dyDescent="0.25">
      <c r="A1042" s="18" t="s">
        <v>1844</v>
      </c>
      <c r="B1042">
        <v>0.45133162534813032</v>
      </c>
      <c r="C1042" s="17">
        <f t="shared" si="16"/>
        <v>45706</v>
      </c>
      <c r="D1042" s="17"/>
      <c r="J1042" s="2" t="s">
        <v>1275</v>
      </c>
    </row>
    <row r="1043" spans="1:10" x14ac:dyDescent="0.25">
      <c r="A1043" s="18" t="s">
        <v>437</v>
      </c>
      <c r="B1043">
        <v>0.45147294590329412</v>
      </c>
      <c r="C1043" s="17">
        <f t="shared" si="16"/>
        <v>45707</v>
      </c>
      <c r="D1043" s="17"/>
      <c r="J1043" s="2" t="s">
        <v>1276</v>
      </c>
    </row>
    <row r="1044" spans="1:10" x14ac:dyDescent="0.25">
      <c r="A1044" s="18" t="s">
        <v>1802</v>
      </c>
      <c r="B1044">
        <v>0.45223379480942372</v>
      </c>
      <c r="C1044" s="17">
        <f t="shared" si="16"/>
        <v>45708</v>
      </c>
      <c r="D1044" s="17"/>
      <c r="J1044" s="2" t="s">
        <v>454</v>
      </c>
    </row>
    <row r="1045" spans="1:10" x14ac:dyDescent="0.25">
      <c r="A1045" s="18" t="s">
        <v>1211</v>
      </c>
      <c r="B1045">
        <v>0.452236038463805</v>
      </c>
      <c r="C1045" s="17">
        <f t="shared" si="16"/>
        <v>45709</v>
      </c>
      <c r="D1045" s="17"/>
      <c r="J1045" s="2" t="s">
        <v>19</v>
      </c>
    </row>
    <row r="1046" spans="1:10" x14ac:dyDescent="0.25">
      <c r="A1046" s="18" t="s">
        <v>2182</v>
      </c>
      <c r="B1046">
        <v>0.45286519966044614</v>
      </c>
      <c r="C1046" s="17">
        <f t="shared" si="16"/>
        <v>45710</v>
      </c>
      <c r="D1046" s="17"/>
      <c r="J1046" s="2" t="s">
        <v>1277</v>
      </c>
    </row>
    <row r="1047" spans="1:10" x14ac:dyDescent="0.25">
      <c r="A1047" s="18" t="s">
        <v>486</v>
      </c>
      <c r="B1047">
        <v>0.45310003918815012</v>
      </c>
      <c r="C1047" s="17">
        <f t="shared" si="16"/>
        <v>45711</v>
      </c>
      <c r="D1047" s="17"/>
      <c r="J1047" s="2" t="s">
        <v>333</v>
      </c>
    </row>
    <row r="1048" spans="1:10" x14ac:dyDescent="0.25">
      <c r="A1048" s="18" t="s">
        <v>658</v>
      </c>
      <c r="B1048">
        <v>0.4533172372228117</v>
      </c>
      <c r="C1048" s="17">
        <f t="shared" si="16"/>
        <v>45712</v>
      </c>
      <c r="D1048" s="17"/>
      <c r="J1048" s="2" t="s">
        <v>463</v>
      </c>
    </row>
    <row r="1049" spans="1:10" x14ac:dyDescent="0.25">
      <c r="A1049" s="18" t="s">
        <v>2125</v>
      </c>
      <c r="B1049">
        <v>0.45338175490425292</v>
      </c>
      <c r="C1049" s="17">
        <f t="shared" si="16"/>
        <v>45713</v>
      </c>
      <c r="D1049" s="17"/>
      <c r="J1049" s="2" t="s">
        <v>1278</v>
      </c>
    </row>
    <row r="1050" spans="1:10" x14ac:dyDescent="0.25">
      <c r="A1050" s="18" t="s">
        <v>1344</v>
      </c>
      <c r="B1050">
        <v>0.45359673598179862</v>
      </c>
      <c r="C1050" s="17">
        <f t="shared" si="16"/>
        <v>45714</v>
      </c>
      <c r="D1050" s="17"/>
      <c r="J1050" s="2" t="s">
        <v>206</v>
      </c>
    </row>
    <row r="1051" spans="1:10" x14ac:dyDescent="0.25">
      <c r="A1051" s="18" t="s">
        <v>2120</v>
      </c>
      <c r="B1051">
        <v>0.45367008641225826</v>
      </c>
      <c r="C1051" s="17">
        <f t="shared" si="16"/>
        <v>45715</v>
      </c>
      <c r="D1051" s="17"/>
      <c r="J1051" s="2" t="s">
        <v>1279</v>
      </c>
    </row>
    <row r="1052" spans="1:10" x14ac:dyDescent="0.25">
      <c r="A1052" s="18" t="s">
        <v>597</v>
      </c>
      <c r="B1052">
        <v>0.45370995599803954</v>
      </c>
      <c r="C1052" s="17">
        <f t="shared" si="16"/>
        <v>45716</v>
      </c>
      <c r="D1052" s="17"/>
      <c r="J1052" s="2" t="s">
        <v>1280</v>
      </c>
    </row>
    <row r="1053" spans="1:10" x14ac:dyDescent="0.25">
      <c r="A1053" s="18" t="s">
        <v>1570</v>
      </c>
      <c r="B1053">
        <v>0.45413334331247524</v>
      </c>
      <c r="C1053" s="17">
        <f t="shared" si="16"/>
        <v>45717</v>
      </c>
      <c r="D1053" s="17"/>
      <c r="J1053" s="2" t="s">
        <v>1281</v>
      </c>
    </row>
    <row r="1054" spans="1:10" x14ac:dyDescent="0.25">
      <c r="A1054" s="18" t="s">
        <v>1290</v>
      </c>
      <c r="B1054">
        <v>0.45505117232436931</v>
      </c>
      <c r="C1054" s="17">
        <f t="shared" si="16"/>
        <v>45718</v>
      </c>
      <c r="D1054" s="17"/>
      <c r="J1054" s="2" t="s">
        <v>1282</v>
      </c>
    </row>
    <row r="1055" spans="1:10" x14ac:dyDescent="0.25">
      <c r="A1055" s="18" t="s">
        <v>800</v>
      </c>
      <c r="B1055">
        <v>0.45519415181722567</v>
      </c>
      <c r="C1055" s="17">
        <f t="shared" si="16"/>
        <v>45719</v>
      </c>
      <c r="D1055" s="17"/>
      <c r="J1055" s="2" t="s">
        <v>1283</v>
      </c>
    </row>
    <row r="1056" spans="1:10" x14ac:dyDescent="0.25">
      <c r="A1056" s="18" t="s">
        <v>1915</v>
      </c>
      <c r="B1056">
        <v>0.45568099747167834</v>
      </c>
      <c r="C1056" s="17">
        <f t="shared" si="16"/>
        <v>45720</v>
      </c>
      <c r="D1056" s="17"/>
      <c r="J1056" s="2" t="s">
        <v>1284</v>
      </c>
    </row>
    <row r="1057" spans="1:10" x14ac:dyDescent="0.25">
      <c r="A1057" s="18" t="s">
        <v>150</v>
      </c>
      <c r="B1057">
        <v>0.45582634979337644</v>
      </c>
      <c r="C1057" s="17">
        <f t="shared" si="16"/>
        <v>45721</v>
      </c>
      <c r="D1057" s="17"/>
      <c r="J1057" s="2" t="s">
        <v>202</v>
      </c>
    </row>
    <row r="1058" spans="1:10" x14ac:dyDescent="0.25">
      <c r="A1058" s="18" t="s">
        <v>137</v>
      </c>
      <c r="B1058">
        <v>0.45797214739832304</v>
      </c>
      <c r="C1058" s="17">
        <f t="shared" si="16"/>
        <v>45722</v>
      </c>
      <c r="D1058" s="17"/>
      <c r="J1058" s="2" t="s">
        <v>1285</v>
      </c>
    </row>
    <row r="1059" spans="1:10" x14ac:dyDescent="0.25">
      <c r="A1059" s="18" t="s">
        <v>403</v>
      </c>
      <c r="B1059">
        <v>0.45811792879487245</v>
      </c>
      <c r="C1059" s="17">
        <f t="shared" si="16"/>
        <v>45723</v>
      </c>
      <c r="D1059" s="17"/>
      <c r="J1059" s="2" t="s">
        <v>1286</v>
      </c>
    </row>
    <row r="1060" spans="1:10" x14ac:dyDescent="0.25">
      <c r="A1060" s="18" t="s">
        <v>485</v>
      </c>
      <c r="B1060">
        <v>0.4584747144246395</v>
      </c>
      <c r="C1060" s="17">
        <f t="shared" si="16"/>
        <v>45724</v>
      </c>
      <c r="D1060" s="17"/>
      <c r="J1060" s="2" t="s">
        <v>277</v>
      </c>
    </row>
    <row r="1061" spans="1:10" x14ac:dyDescent="0.25">
      <c r="A1061" s="18" t="s">
        <v>1768</v>
      </c>
      <c r="B1061">
        <v>0.45928051309882356</v>
      </c>
      <c r="C1061" s="17">
        <f t="shared" si="16"/>
        <v>45725</v>
      </c>
      <c r="D1061" s="17"/>
      <c r="J1061" s="2" t="s">
        <v>1287</v>
      </c>
    </row>
    <row r="1062" spans="1:10" x14ac:dyDescent="0.25">
      <c r="A1062" s="18" t="s">
        <v>1024</v>
      </c>
      <c r="B1062">
        <v>0.45943761308581976</v>
      </c>
      <c r="C1062" s="17">
        <f t="shared" si="16"/>
        <v>45726</v>
      </c>
      <c r="D1062" s="17"/>
      <c r="J1062" s="2" t="s">
        <v>439</v>
      </c>
    </row>
    <row r="1063" spans="1:10" x14ac:dyDescent="0.25">
      <c r="A1063" s="18" t="s">
        <v>242</v>
      </c>
      <c r="B1063">
        <v>0.46009700047117474</v>
      </c>
      <c r="C1063" s="17">
        <f t="shared" si="16"/>
        <v>45727</v>
      </c>
      <c r="D1063" s="17"/>
      <c r="J1063" s="2" t="s">
        <v>1288</v>
      </c>
    </row>
    <row r="1064" spans="1:10" x14ac:dyDescent="0.25">
      <c r="A1064" s="18" t="s">
        <v>423</v>
      </c>
      <c r="B1064">
        <v>0.46011418064888188</v>
      </c>
      <c r="C1064" s="17">
        <f t="shared" si="16"/>
        <v>45728</v>
      </c>
      <c r="D1064" s="17"/>
      <c r="J1064" s="2" t="s">
        <v>1289</v>
      </c>
    </row>
    <row r="1065" spans="1:10" x14ac:dyDescent="0.25">
      <c r="A1065" s="18" t="s">
        <v>1695</v>
      </c>
      <c r="B1065">
        <v>0.46062948384595759</v>
      </c>
      <c r="C1065" s="17">
        <f t="shared" si="16"/>
        <v>45729</v>
      </c>
      <c r="D1065" s="17"/>
      <c r="J1065" s="2" t="s">
        <v>1290</v>
      </c>
    </row>
    <row r="1066" spans="1:10" x14ac:dyDescent="0.25">
      <c r="A1066" s="18" t="s">
        <v>1225</v>
      </c>
      <c r="B1066">
        <v>0.46107286739820874</v>
      </c>
      <c r="C1066" s="17">
        <f t="shared" si="16"/>
        <v>45730</v>
      </c>
      <c r="D1066" s="17"/>
      <c r="J1066" s="2" t="s">
        <v>1291</v>
      </c>
    </row>
    <row r="1067" spans="1:10" x14ac:dyDescent="0.25">
      <c r="A1067" s="18" t="s">
        <v>371</v>
      </c>
      <c r="B1067">
        <v>0.4613871450344692</v>
      </c>
      <c r="C1067" s="17">
        <f t="shared" si="16"/>
        <v>45731</v>
      </c>
      <c r="D1067" s="17"/>
      <c r="J1067" s="2" t="s">
        <v>1292</v>
      </c>
    </row>
    <row r="1068" spans="1:10" x14ac:dyDescent="0.25">
      <c r="A1068" s="18" t="s">
        <v>1021</v>
      </c>
      <c r="B1068">
        <v>0.46159065504218544</v>
      </c>
      <c r="C1068" s="17">
        <f t="shared" si="16"/>
        <v>45732</v>
      </c>
      <c r="D1068" s="17"/>
      <c r="J1068" s="2" t="s">
        <v>1293</v>
      </c>
    </row>
    <row r="1069" spans="1:10" x14ac:dyDescent="0.25">
      <c r="A1069" s="18" t="s">
        <v>390</v>
      </c>
      <c r="B1069">
        <v>0.46542689511766622</v>
      </c>
      <c r="C1069" s="17">
        <f t="shared" si="16"/>
        <v>45733</v>
      </c>
      <c r="D1069" s="17"/>
      <c r="J1069" s="2" t="s">
        <v>1294</v>
      </c>
    </row>
    <row r="1070" spans="1:10" x14ac:dyDescent="0.25">
      <c r="A1070" s="18" t="s">
        <v>578</v>
      </c>
      <c r="B1070">
        <v>0.46550177488623101</v>
      </c>
      <c r="C1070" s="17">
        <f t="shared" si="16"/>
        <v>45734</v>
      </c>
      <c r="D1070" s="17"/>
      <c r="J1070" s="2" t="s">
        <v>97</v>
      </c>
    </row>
    <row r="1071" spans="1:10" x14ac:dyDescent="0.25">
      <c r="A1071" s="18" t="s">
        <v>2160</v>
      </c>
      <c r="B1071">
        <v>0.4656882113419375</v>
      </c>
      <c r="C1071" s="17">
        <f t="shared" si="16"/>
        <v>45735</v>
      </c>
      <c r="D1071" s="17"/>
      <c r="J1071" s="2" t="s">
        <v>1295</v>
      </c>
    </row>
    <row r="1072" spans="1:10" x14ac:dyDescent="0.25">
      <c r="A1072" s="18" t="s">
        <v>701</v>
      </c>
      <c r="B1072">
        <v>0.46572842264438896</v>
      </c>
      <c r="C1072" s="17">
        <f t="shared" si="16"/>
        <v>45736</v>
      </c>
      <c r="D1072" s="17"/>
      <c r="J1072" s="2" t="s">
        <v>405</v>
      </c>
    </row>
    <row r="1073" spans="1:10" x14ac:dyDescent="0.25">
      <c r="A1073" s="18" t="s">
        <v>788</v>
      </c>
      <c r="B1073">
        <v>0.46645849758323477</v>
      </c>
      <c r="C1073" s="17">
        <f t="shared" si="16"/>
        <v>45737</v>
      </c>
      <c r="D1073" s="17"/>
      <c r="J1073" s="2" t="s">
        <v>427</v>
      </c>
    </row>
    <row r="1074" spans="1:10" x14ac:dyDescent="0.25">
      <c r="A1074" s="18" t="s">
        <v>1594</v>
      </c>
      <c r="B1074">
        <v>0.46661061836564888</v>
      </c>
      <c r="C1074" s="17">
        <f t="shared" si="16"/>
        <v>45738</v>
      </c>
      <c r="D1074" s="17"/>
      <c r="J1074" s="2" t="s">
        <v>1296</v>
      </c>
    </row>
    <row r="1075" spans="1:10" x14ac:dyDescent="0.25">
      <c r="A1075" s="18" t="s">
        <v>1143</v>
      </c>
      <c r="B1075">
        <v>0.46664864088541136</v>
      </c>
      <c r="C1075" s="17">
        <f t="shared" si="16"/>
        <v>45739</v>
      </c>
      <c r="D1075" s="17"/>
      <c r="J1075" s="2" t="s">
        <v>1297</v>
      </c>
    </row>
    <row r="1076" spans="1:10" x14ac:dyDescent="0.25">
      <c r="A1076" s="18" t="s">
        <v>672</v>
      </c>
      <c r="B1076">
        <v>0.46677673449975698</v>
      </c>
      <c r="C1076" s="17">
        <f t="shared" si="16"/>
        <v>45740</v>
      </c>
      <c r="D1076" s="17"/>
      <c r="J1076" s="2" t="s">
        <v>1298</v>
      </c>
    </row>
    <row r="1077" spans="1:10" x14ac:dyDescent="0.25">
      <c r="A1077" s="18" t="s">
        <v>2197</v>
      </c>
      <c r="B1077">
        <v>0.46682768979916955</v>
      </c>
      <c r="C1077" s="17">
        <f t="shared" si="16"/>
        <v>45741</v>
      </c>
      <c r="D1077" s="17"/>
      <c r="J1077" s="2" t="s">
        <v>1299</v>
      </c>
    </row>
    <row r="1078" spans="1:10" x14ac:dyDescent="0.25">
      <c r="A1078" s="18" t="s">
        <v>880</v>
      </c>
      <c r="B1078">
        <v>0.4672799782236311</v>
      </c>
      <c r="C1078" s="17">
        <f t="shared" si="16"/>
        <v>45742</v>
      </c>
      <c r="D1078" s="17"/>
      <c r="J1078" s="2" t="s">
        <v>1300</v>
      </c>
    </row>
    <row r="1079" spans="1:10" x14ac:dyDescent="0.25">
      <c r="A1079" s="18" t="s">
        <v>811</v>
      </c>
      <c r="B1079">
        <v>0.46863572180637203</v>
      </c>
      <c r="C1079" s="17">
        <f t="shared" si="16"/>
        <v>45743</v>
      </c>
      <c r="D1079" s="17"/>
      <c r="J1079" s="2" t="s">
        <v>453</v>
      </c>
    </row>
    <row r="1080" spans="1:10" x14ac:dyDescent="0.25">
      <c r="A1080" s="18" t="s">
        <v>1879</v>
      </c>
      <c r="B1080">
        <v>0.46952487800755283</v>
      </c>
      <c r="C1080" s="17">
        <f t="shared" si="16"/>
        <v>45744</v>
      </c>
      <c r="D1080" s="17"/>
      <c r="J1080" s="2" t="s">
        <v>1301</v>
      </c>
    </row>
    <row r="1081" spans="1:10" x14ac:dyDescent="0.25">
      <c r="A1081" s="18" t="s">
        <v>548</v>
      </c>
      <c r="B1081">
        <v>0.46953834968334252</v>
      </c>
      <c r="C1081" s="17">
        <f t="shared" si="16"/>
        <v>45745</v>
      </c>
      <c r="D1081" s="17"/>
      <c r="J1081" s="2" t="s">
        <v>37</v>
      </c>
    </row>
    <row r="1082" spans="1:10" x14ac:dyDescent="0.25">
      <c r="A1082" s="18" t="s">
        <v>1910</v>
      </c>
      <c r="B1082">
        <v>0.46954992139647544</v>
      </c>
      <c r="C1082" s="17">
        <f t="shared" si="16"/>
        <v>45746</v>
      </c>
      <c r="D1082" s="17"/>
      <c r="J1082" s="2" t="s">
        <v>1302</v>
      </c>
    </row>
    <row r="1083" spans="1:10" x14ac:dyDescent="0.25">
      <c r="A1083" s="18" t="s">
        <v>607</v>
      </c>
      <c r="B1083">
        <v>0.4697528354471151</v>
      </c>
      <c r="C1083" s="17">
        <f t="shared" si="16"/>
        <v>45747</v>
      </c>
      <c r="D1083" s="17"/>
      <c r="J1083" s="2" t="s">
        <v>1303</v>
      </c>
    </row>
    <row r="1084" spans="1:10" x14ac:dyDescent="0.25">
      <c r="A1084" s="18" t="s">
        <v>1465</v>
      </c>
      <c r="B1084">
        <v>0.46977404665868139</v>
      </c>
      <c r="C1084" s="17">
        <f t="shared" si="16"/>
        <v>45748</v>
      </c>
      <c r="D1084" s="17"/>
      <c r="J1084" s="2" t="s">
        <v>1304</v>
      </c>
    </row>
    <row r="1085" spans="1:10" x14ac:dyDescent="0.25">
      <c r="A1085" s="18" t="s">
        <v>1901</v>
      </c>
      <c r="B1085">
        <v>0.469899649723722</v>
      </c>
      <c r="C1085" s="17">
        <f t="shared" si="16"/>
        <v>45749</v>
      </c>
      <c r="D1085" s="17"/>
      <c r="J1085" s="2" t="s">
        <v>1305</v>
      </c>
    </row>
    <row r="1086" spans="1:10" x14ac:dyDescent="0.25">
      <c r="A1086" s="18" t="s">
        <v>360</v>
      </c>
      <c r="B1086">
        <v>0.46991672999891043</v>
      </c>
      <c r="C1086" s="17">
        <f t="shared" si="16"/>
        <v>45750</v>
      </c>
      <c r="D1086" s="17"/>
      <c r="J1086" s="2" t="s">
        <v>1306</v>
      </c>
    </row>
    <row r="1087" spans="1:10" x14ac:dyDescent="0.25">
      <c r="A1087" s="18" t="s">
        <v>2057</v>
      </c>
      <c r="B1087">
        <v>0.47030125004092571</v>
      </c>
      <c r="C1087" s="17">
        <f t="shared" si="16"/>
        <v>45751</v>
      </c>
      <c r="D1087" s="17"/>
      <c r="J1087" s="2" t="s">
        <v>1307</v>
      </c>
    </row>
    <row r="1088" spans="1:10" x14ac:dyDescent="0.25">
      <c r="A1088" s="18" t="s">
        <v>1335</v>
      </c>
      <c r="B1088">
        <v>0.47066474507680778</v>
      </c>
      <c r="C1088" s="17">
        <f t="shared" si="16"/>
        <v>45752</v>
      </c>
      <c r="D1088" s="17"/>
      <c r="J1088" s="2" t="s">
        <v>1308</v>
      </c>
    </row>
    <row r="1089" spans="1:10" x14ac:dyDescent="0.25">
      <c r="A1089" s="18" t="s">
        <v>1378</v>
      </c>
      <c r="B1089">
        <v>0.47081204233646645</v>
      </c>
      <c r="C1089" s="17">
        <f t="shared" si="16"/>
        <v>45753</v>
      </c>
      <c r="D1089" s="17"/>
      <c r="J1089" s="2" t="s">
        <v>1309</v>
      </c>
    </row>
    <row r="1090" spans="1:10" x14ac:dyDescent="0.25">
      <c r="A1090" s="18" t="s">
        <v>518</v>
      </c>
      <c r="B1090">
        <v>0.47083165554455297</v>
      </c>
      <c r="C1090" s="17">
        <f t="shared" si="16"/>
        <v>45754</v>
      </c>
      <c r="D1090" s="17"/>
      <c r="J1090" s="2" t="s">
        <v>1310</v>
      </c>
    </row>
    <row r="1091" spans="1:10" x14ac:dyDescent="0.25">
      <c r="A1091" s="18" t="s">
        <v>1394</v>
      </c>
      <c r="B1091">
        <v>0.47147234291047635</v>
      </c>
      <c r="C1091" s="17">
        <f t="shared" si="16"/>
        <v>45755</v>
      </c>
      <c r="D1091" s="17"/>
      <c r="J1091" s="2" t="s">
        <v>1311</v>
      </c>
    </row>
    <row r="1092" spans="1:10" x14ac:dyDescent="0.25">
      <c r="A1092" s="18" t="s">
        <v>405</v>
      </c>
      <c r="B1092">
        <v>0.47203565632924338</v>
      </c>
      <c r="C1092" s="17">
        <f t="shared" ref="C1092:C1155" si="17">C1091+1</f>
        <v>45756</v>
      </c>
      <c r="D1092" s="17"/>
      <c r="J1092" s="2" t="s">
        <v>1312</v>
      </c>
    </row>
    <row r="1093" spans="1:10" x14ac:dyDescent="0.25">
      <c r="A1093" s="18" t="s">
        <v>1752</v>
      </c>
      <c r="B1093">
        <v>0.47232500903899888</v>
      </c>
      <c r="C1093" s="17">
        <f t="shared" si="17"/>
        <v>45757</v>
      </c>
      <c r="D1093" s="17"/>
      <c r="J1093" s="2" t="s">
        <v>1313</v>
      </c>
    </row>
    <row r="1094" spans="1:10" x14ac:dyDescent="0.25">
      <c r="A1094" s="18" t="s">
        <v>1981</v>
      </c>
      <c r="B1094">
        <v>0.47249323485072692</v>
      </c>
      <c r="C1094" s="17">
        <f t="shared" si="17"/>
        <v>45758</v>
      </c>
      <c r="D1094" s="17"/>
      <c r="J1094" s="2" t="s">
        <v>376</v>
      </c>
    </row>
    <row r="1095" spans="1:10" x14ac:dyDescent="0.25">
      <c r="A1095" s="18" t="s">
        <v>450</v>
      </c>
      <c r="B1095">
        <v>0.47384584530938301</v>
      </c>
      <c r="C1095" s="17">
        <f t="shared" si="17"/>
        <v>45759</v>
      </c>
      <c r="D1095" s="17"/>
      <c r="J1095" s="2" t="s">
        <v>1314</v>
      </c>
    </row>
    <row r="1096" spans="1:10" x14ac:dyDescent="0.25">
      <c r="A1096" s="18" t="s">
        <v>2005</v>
      </c>
      <c r="B1096">
        <v>0.4750515804408616</v>
      </c>
      <c r="C1096" s="17">
        <f t="shared" si="17"/>
        <v>45760</v>
      </c>
      <c r="D1096" s="17"/>
      <c r="J1096" s="2" t="s">
        <v>62</v>
      </c>
    </row>
    <row r="1097" spans="1:10" x14ac:dyDescent="0.25">
      <c r="A1097" s="18" t="s">
        <v>1725</v>
      </c>
      <c r="B1097">
        <v>0.47512952540633413</v>
      </c>
      <c r="C1097" s="17">
        <f t="shared" si="17"/>
        <v>45761</v>
      </c>
      <c r="D1097" s="17"/>
      <c r="J1097" s="2" t="s">
        <v>1315</v>
      </c>
    </row>
    <row r="1098" spans="1:10" x14ac:dyDescent="0.25">
      <c r="A1098" s="18" t="s">
        <v>553</v>
      </c>
      <c r="B1098">
        <v>0.47537405224984386</v>
      </c>
      <c r="C1098" s="17">
        <f t="shared" si="17"/>
        <v>45762</v>
      </c>
      <c r="D1098" s="17"/>
      <c r="J1098" s="2" t="s">
        <v>1316</v>
      </c>
    </row>
    <row r="1099" spans="1:10" x14ac:dyDescent="0.25">
      <c r="A1099" s="18" t="s">
        <v>1067</v>
      </c>
      <c r="B1099">
        <v>0.47561157433205503</v>
      </c>
      <c r="C1099" s="17">
        <f t="shared" si="17"/>
        <v>45763</v>
      </c>
      <c r="D1099" s="17"/>
      <c r="J1099" s="2" t="s">
        <v>352</v>
      </c>
    </row>
    <row r="1100" spans="1:10" x14ac:dyDescent="0.25">
      <c r="A1100" s="18" t="s">
        <v>1937</v>
      </c>
      <c r="B1100">
        <v>0.47626657866700539</v>
      </c>
      <c r="C1100" s="17">
        <f t="shared" si="17"/>
        <v>45764</v>
      </c>
      <c r="D1100" s="17"/>
      <c r="J1100" s="2" t="s">
        <v>1317</v>
      </c>
    </row>
    <row r="1101" spans="1:10" x14ac:dyDescent="0.25">
      <c r="A1101" s="18" t="s">
        <v>1619</v>
      </c>
      <c r="B1101">
        <v>0.47723853038698916</v>
      </c>
      <c r="C1101" s="17">
        <f t="shared" si="17"/>
        <v>45765</v>
      </c>
      <c r="D1101" s="17"/>
      <c r="J1101" s="2" t="s">
        <v>461</v>
      </c>
    </row>
    <row r="1102" spans="1:10" x14ac:dyDescent="0.25">
      <c r="A1102" s="18" t="s">
        <v>1311</v>
      </c>
      <c r="B1102">
        <v>0.47737737152108928</v>
      </c>
      <c r="C1102" s="17">
        <f t="shared" si="17"/>
        <v>45766</v>
      </c>
      <c r="D1102" s="17"/>
      <c r="J1102" s="2" t="s">
        <v>1318</v>
      </c>
    </row>
    <row r="1103" spans="1:10" x14ac:dyDescent="0.25">
      <c r="A1103" s="18" t="s">
        <v>1493</v>
      </c>
      <c r="B1103">
        <v>0.47750696399625658</v>
      </c>
      <c r="C1103" s="17">
        <f t="shared" si="17"/>
        <v>45767</v>
      </c>
      <c r="D1103" s="17"/>
      <c r="J1103" s="2" t="s">
        <v>218</v>
      </c>
    </row>
    <row r="1104" spans="1:10" x14ac:dyDescent="0.25">
      <c r="A1104" s="18" t="s">
        <v>2235</v>
      </c>
      <c r="B1104">
        <v>0.47763664243418047</v>
      </c>
      <c r="C1104" s="17">
        <f t="shared" si="17"/>
        <v>45768</v>
      </c>
      <c r="D1104" s="17"/>
      <c r="J1104" s="2" t="s">
        <v>420</v>
      </c>
    </row>
    <row r="1105" spans="1:10" x14ac:dyDescent="0.25">
      <c r="A1105" s="18" t="s">
        <v>1539</v>
      </c>
      <c r="B1105">
        <v>0.47837866682642494</v>
      </c>
      <c r="C1105" s="17">
        <f t="shared" si="17"/>
        <v>45769</v>
      </c>
      <c r="D1105" s="17"/>
      <c r="J1105" s="2" t="s">
        <v>1319</v>
      </c>
    </row>
    <row r="1106" spans="1:10" x14ac:dyDescent="0.25">
      <c r="A1106" s="18" t="s">
        <v>2129</v>
      </c>
      <c r="B1106">
        <v>0.47847038750958593</v>
      </c>
      <c r="C1106" s="17">
        <f t="shared" si="17"/>
        <v>45770</v>
      </c>
      <c r="D1106" s="17"/>
      <c r="J1106" s="2" t="s">
        <v>1320</v>
      </c>
    </row>
    <row r="1107" spans="1:10" x14ac:dyDescent="0.25">
      <c r="A1107" s="18" t="s">
        <v>581</v>
      </c>
      <c r="B1107">
        <v>0.47893362308144349</v>
      </c>
      <c r="C1107" s="17">
        <f t="shared" si="17"/>
        <v>45771</v>
      </c>
      <c r="D1107" s="17"/>
      <c r="J1107" s="2" t="s">
        <v>1321</v>
      </c>
    </row>
    <row r="1108" spans="1:10" x14ac:dyDescent="0.25">
      <c r="A1108" s="18" t="s">
        <v>1275</v>
      </c>
      <c r="B1108">
        <v>0.47987170768567955</v>
      </c>
      <c r="C1108" s="17">
        <f t="shared" si="17"/>
        <v>45772</v>
      </c>
      <c r="D1108" s="17"/>
      <c r="J1108" s="2" t="s">
        <v>1322</v>
      </c>
    </row>
    <row r="1109" spans="1:10" x14ac:dyDescent="0.25">
      <c r="A1109" s="18" t="s">
        <v>1691</v>
      </c>
      <c r="B1109">
        <v>0.47990510991961322</v>
      </c>
      <c r="C1109" s="17">
        <f t="shared" si="17"/>
        <v>45773</v>
      </c>
      <c r="D1109" s="17"/>
      <c r="J1109" s="2" t="s">
        <v>1323</v>
      </c>
    </row>
    <row r="1110" spans="1:10" x14ac:dyDescent="0.25">
      <c r="A1110" s="18" t="s">
        <v>1318</v>
      </c>
      <c r="B1110">
        <v>0.47997343602337339</v>
      </c>
      <c r="C1110" s="17">
        <f t="shared" si="17"/>
        <v>45774</v>
      </c>
      <c r="D1110" s="17"/>
      <c r="J1110" s="2" t="s">
        <v>1324</v>
      </c>
    </row>
    <row r="1111" spans="1:10" x14ac:dyDescent="0.25">
      <c r="A1111" s="18" t="s">
        <v>1637</v>
      </c>
      <c r="B1111">
        <v>0.48027987270411931</v>
      </c>
      <c r="C1111" s="17">
        <f t="shared" si="17"/>
        <v>45775</v>
      </c>
      <c r="D1111" s="17"/>
      <c r="J1111" s="2" t="s">
        <v>1325</v>
      </c>
    </row>
    <row r="1112" spans="1:10" x14ac:dyDescent="0.25">
      <c r="A1112" s="18" t="s">
        <v>1536</v>
      </c>
      <c r="B1112">
        <v>0.48035518437183944</v>
      </c>
      <c r="C1112" s="17">
        <f t="shared" si="17"/>
        <v>45776</v>
      </c>
      <c r="D1112" s="17"/>
      <c r="J1112" s="2" t="s">
        <v>1326</v>
      </c>
    </row>
    <row r="1113" spans="1:10" x14ac:dyDescent="0.25">
      <c r="A1113" s="18" t="s">
        <v>868</v>
      </c>
      <c r="B1113">
        <v>0.48089497396927128</v>
      </c>
      <c r="C1113" s="17">
        <f t="shared" si="17"/>
        <v>45777</v>
      </c>
      <c r="D1113" s="17"/>
      <c r="J1113" s="2" t="s">
        <v>1327</v>
      </c>
    </row>
    <row r="1114" spans="1:10" x14ac:dyDescent="0.25">
      <c r="A1114" s="18" t="s">
        <v>2190</v>
      </c>
      <c r="B1114">
        <v>0.48102761599750543</v>
      </c>
      <c r="C1114" s="17">
        <f t="shared" si="17"/>
        <v>45778</v>
      </c>
      <c r="D1114" s="17"/>
      <c r="J1114" s="2" t="s">
        <v>1328</v>
      </c>
    </row>
    <row r="1115" spans="1:10" x14ac:dyDescent="0.25">
      <c r="A1115" s="18" t="s">
        <v>2183</v>
      </c>
      <c r="B1115">
        <v>0.48133656932258262</v>
      </c>
      <c r="C1115" s="17">
        <f t="shared" si="17"/>
        <v>45779</v>
      </c>
      <c r="D1115" s="17"/>
      <c r="J1115" s="2" t="s">
        <v>1329</v>
      </c>
    </row>
    <row r="1116" spans="1:10" x14ac:dyDescent="0.25">
      <c r="A1116" s="18" t="s">
        <v>547</v>
      </c>
      <c r="B1116">
        <v>0.48214878304566722</v>
      </c>
      <c r="C1116" s="17">
        <f t="shared" si="17"/>
        <v>45780</v>
      </c>
      <c r="D1116" s="17"/>
      <c r="J1116" s="2" t="s">
        <v>1330</v>
      </c>
    </row>
    <row r="1117" spans="1:10" x14ac:dyDescent="0.25">
      <c r="A1117" s="18" t="s">
        <v>2149</v>
      </c>
      <c r="B1117">
        <v>0.48346442369827602</v>
      </c>
      <c r="C1117" s="17">
        <f t="shared" si="17"/>
        <v>45781</v>
      </c>
      <c r="D1117" s="17"/>
      <c r="J1117" s="2" t="s">
        <v>1331</v>
      </c>
    </row>
    <row r="1118" spans="1:10" x14ac:dyDescent="0.25">
      <c r="A1118" s="18" t="s">
        <v>122</v>
      </c>
      <c r="B1118">
        <v>0.48365064812873038</v>
      </c>
      <c r="C1118" s="17">
        <f t="shared" si="17"/>
        <v>45782</v>
      </c>
      <c r="D1118" s="17"/>
      <c r="J1118" s="2" t="s">
        <v>265</v>
      </c>
    </row>
    <row r="1119" spans="1:10" x14ac:dyDescent="0.25">
      <c r="A1119" s="18" t="s">
        <v>113</v>
      </c>
      <c r="B1119">
        <v>0.48406324628742436</v>
      </c>
      <c r="C1119" s="17">
        <f t="shared" si="17"/>
        <v>45783</v>
      </c>
      <c r="D1119" s="17"/>
      <c r="J1119" s="2" t="s">
        <v>415</v>
      </c>
    </row>
    <row r="1120" spans="1:10" x14ac:dyDescent="0.25">
      <c r="A1120" s="18" t="s">
        <v>2188</v>
      </c>
      <c r="B1120">
        <v>0.4852034151129021</v>
      </c>
      <c r="C1120" s="17">
        <f t="shared" si="17"/>
        <v>45784</v>
      </c>
      <c r="D1120" s="17"/>
      <c r="J1120" s="2" t="s">
        <v>1332</v>
      </c>
    </row>
    <row r="1121" spans="1:10" x14ac:dyDescent="0.25">
      <c r="A1121" s="18" t="s">
        <v>2261</v>
      </c>
      <c r="B1121">
        <v>0.48531251472094672</v>
      </c>
      <c r="C1121" s="17">
        <f t="shared" si="17"/>
        <v>45785</v>
      </c>
      <c r="D1121" s="17"/>
      <c r="J1121" s="2" t="s">
        <v>1333</v>
      </c>
    </row>
    <row r="1122" spans="1:10" x14ac:dyDescent="0.25">
      <c r="A1122" s="18" t="s">
        <v>1019</v>
      </c>
      <c r="B1122">
        <v>0.48578060006551593</v>
      </c>
      <c r="C1122" s="17">
        <f t="shared" si="17"/>
        <v>45786</v>
      </c>
      <c r="D1122" s="17"/>
      <c r="J1122" s="2" t="s">
        <v>1334</v>
      </c>
    </row>
    <row r="1123" spans="1:10" x14ac:dyDescent="0.25">
      <c r="A1123" s="18" t="s">
        <v>42</v>
      </c>
      <c r="B1123">
        <v>0.48602726181097389</v>
      </c>
      <c r="C1123" s="17">
        <f t="shared" si="17"/>
        <v>45787</v>
      </c>
      <c r="D1123" s="17"/>
      <c r="J1123" s="2" t="s">
        <v>360</v>
      </c>
    </row>
    <row r="1124" spans="1:10" x14ac:dyDescent="0.25">
      <c r="A1124" s="18" t="s">
        <v>775</v>
      </c>
      <c r="B1124">
        <v>0.48609395988119586</v>
      </c>
      <c r="C1124" s="17">
        <f t="shared" si="17"/>
        <v>45788</v>
      </c>
      <c r="D1124" s="17"/>
      <c r="J1124" s="2" t="s">
        <v>1335</v>
      </c>
    </row>
    <row r="1125" spans="1:10" x14ac:dyDescent="0.25">
      <c r="A1125" s="18" t="s">
        <v>2095</v>
      </c>
      <c r="B1125">
        <v>0.48661949229723256</v>
      </c>
      <c r="C1125" s="17">
        <f t="shared" si="17"/>
        <v>45789</v>
      </c>
      <c r="D1125" s="17"/>
      <c r="J1125" s="2" t="s">
        <v>1336</v>
      </c>
    </row>
    <row r="1126" spans="1:10" x14ac:dyDescent="0.25">
      <c r="A1126" s="18" t="s">
        <v>1685</v>
      </c>
      <c r="B1126">
        <v>0.48713673415491743</v>
      </c>
      <c r="C1126" s="17">
        <f t="shared" si="17"/>
        <v>45790</v>
      </c>
      <c r="D1126" s="17"/>
      <c r="J1126" s="2" t="s">
        <v>1337</v>
      </c>
    </row>
    <row r="1127" spans="1:10" x14ac:dyDescent="0.25">
      <c r="A1127" s="18" t="s">
        <v>1443</v>
      </c>
      <c r="B1127">
        <v>0.48719165420835264</v>
      </c>
      <c r="C1127" s="17">
        <f t="shared" si="17"/>
        <v>45791</v>
      </c>
      <c r="D1127" s="17"/>
      <c r="J1127" s="2" t="s">
        <v>1338</v>
      </c>
    </row>
    <row r="1128" spans="1:10" x14ac:dyDescent="0.25">
      <c r="A1128" s="18" t="s">
        <v>1961</v>
      </c>
      <c r="B1128">
        <v>0.48725039920459068</v>
      </c>
      <c r="C1128" s="17">
        <f t="shared" si="17"/>
        <v>45792</v>
      </c>
      <c r="D1128" s="17"/>
      <c r="J1128" s="2" t="s">
        <v>1339</v>
      </c>
    </row>
    <row r="1129" spans="1:10" x14ac:dyDescent="0.25">
      <c r="A1129" s="18" t="s">
        <v>810</v>
      </c>
      <c r="B1129">
        <v>0.48727372397205071</v>
      </c>
      <c r="C1129" s="17">
        <f t="shared" si="17"/>
        <v>45793</v>
      </c>
      <c r="D1129" s="17"/>
      <c r="J1129" s="2" t="s">
        <v>221</v>
      </c>
    </row>
    <row r="1130" spans="1:10" x14ac:dyDescent="0.25">
      <c r="A1130" s="18" t="s">
        <v>289</v>
      </c>
      <c r="B1130">
        <v>0.4874401837685064</v>
      </c>
      <c r="C1130" s="17">
        <f t="shared" si="17"/>
        <v>45794</v>
      </c>
      <c r="D1130" s="17"/>
      <c r="J1130" s="2" t="s">
        <v>1340</v>
      </c>
    </row>
    <row r="1131" spans="1:10" x14ac:dyDescent="0.25">
      <c r="A1131" s="18" t="s">
        <v>2252</v>
      </c>
      <c r="B1131">
        <v>0.48839806152255738</v>
      </c>
      <c r="C1131" s="17">
        <f t="shared" si="17"/>
        <v>45795</v>
      </c>
      <c r="D1131" s="17"/>
      <c r="J1131" s="2" t="s">
        <v>1341</v>
      </c>
    </row>
    <row r="1132" spans="1:10" x14ac:dyDescent="0.25">
      <c r="A1132" s="18" t="s">
        <v>1502</v>
      </c>
      <c r="B1132">
        <v>0.48901406586513374</v>
      </c>
      <c r="C1132" s="17">
        <f t="shared" si="17"/>
        <v>45796</v>
      </c>
      <c r="D1132" s="17"/>
      <c r="J1132" s="2" t="s">
        <v>1342</v>
      </c>
    </row>
    <row r="1133" spans="1:10" x14ac:dyDescent="0.25">
      <c r="A1133" s="18" t="s">
        <v>398</v>
      </c>
      <c r="B1133">
        <v>0.48928711271837666</v>
      </c>
      <c r="C1133" s="17">
        <f t="shared" si="17"/>
        <v>45797</v>
      </c>
      <c r="D1133" s="17"/>
      <c r="J1133" s="2" t="s">
        <v>1343</v>
      </c>
    </row>
    <row r="1134" spans="1:10" x14ac:dyDescent="0.25">
      <c r="A1134" s="18" t="s">
        <v>1595</v>
      </c>
      <c r="B1134">
        <v>0.48944971896062117</v>
      </c>
      <c r="C1134" s="17">
        <f t="shared" si="17"/>
        <v>45798</v>
      </c>
      <c r="D1134" s="17"/>
      <c r="J1134" s="2" t="s">
        <v>1344</v>
      </c>
    </row>
    <row r="1135" spans="1:10" x14ac:dyDescent="0.25">
      <c r="A1135" s="18" t="s">
        <v>1860</v>
      </c>
      <c r="B1135">
        <v>0.490924362396158</v>
      </c>
      <c r="C1135" s="17">
        <f t="shared" si="17"/>
        <v>45799</v>
      </c>
      <c r="D1135" s="17"/>
      <c r="J1135" s="2" t="s">
        <v>1345</v>
      </c>
    </row>
    <row r="1136" spans="1:10" x14ac:dyDescent="0.25">
      <c r="A1136" s="18" t="s">
        <v>106</v>
      </c>
      <c r="B1136">
        <v>0.49120262740179632</v>
      </c>
      <c r="C1136" s="17">
        <f t="shared" si="17"/>
        <v>45800</v>
      </c>
      <c r="D1136" s="17"/>
      <c r="J1136" s="2" t="s">
        <v>1346</v>
      </c>
    </row>
    <row r="1137" spans="1:10" x14ac:dyDescent="0.25">
      <c r="A1137" s="18" t="s">
        <v>956</v>
      </c>
      <c r="B1137">
        <v>0.49177112577728899</v>
      </c>
      <c r="C1137" s="17">
        <f t="shared" si="17"/>
        <v>45801</v>
      </c>
      <c r="D1137" s="17"/>
      <c r="J1137" s="2" t="s">
        <v>1347</v>
      </c>
    </row>
    <row r="1138" spans="1:10" x14ac:dyDescent="0.25">
      <c r="A1138" s="18" t="s">
        <v>1987</v>
      </c>
      <c r="B1138">
        <v>0.49274370874783247</v>
      </c>
      <c r="C1138" s="17">
        <f t="shared" si="17"/>
        <v>45802</v>
      </c>
      <c r="D1138" s="17"/>
      <c r="J1138" s="2" t="s">
        <v>1348</v>
      </c>
    </row>
    <row r="1139" spans="1:10" x14ac:dyDescent="0.25">
      <c r="A1139" s="18" t="s">
        <v>1466</v>
      </c>
      <c r="B1139">
        <v>0.49318003180085379</v>
      </c>
      <c r="C1139" s="17">
        <f t="shared" si="17"/>
        <v>45803</v>
      </c>
      <c r="D1139" s="17"/>
      <c r="J1139" s="2" t="s">
        <v>1349</v>
      </c>
    </row>
    <row r="1140" spans="1:10" x14ac:dyDescent="0.25">
      <c r="A1140" s="18" t="s">
        <v>1281</v>
      </c>
      <c r="B1140">
        <v>0.49348428657270516</v>
      </c>
      <c r="C1140" s="17">
        <f t="shared" si="17"/>
        <v>45804</v>
      </c>
      <c r="D1140" s="17"/>
      <c r="J1140" s="2" t="s">
        <v>468</v>
      </c>
    </row>
    <row r="1141" spans="1:10" x14ac:dyDescent="0.25">
      <c r="A1141" s="18" t="s">
        <v>536</v>
      </c>
      <c r="B1141">
        <v>0.49389086629062917</v>
      </c>
      <c r="C1141" s="17">
        <f t="shared" si="17"/>
        <v>45805</v>
      </c>
      <c r="D1141" s="17"/>
      <c r="J1141" s="2" t="s">
        <v>1350</v>
      </c>
    </row>
    <row r="1142" spans="1:10" x14ac:dyDescent="0.25">
      <c r="A1142" s="18" t="s">
        <v>2237</v>
      </c>
      <c r="B1142">
        <v>0.49406062510777693</v>
      </c>
      <c r="C1142" s="17">
        <f t="shared" si="17"/>
        <v>45806</v>
      </c>
      <c r="D1142" s="17"/>
      <c r="J1142" s="2" t="s">
        <v>304</v>
      </c>
    </row>
    <row r="1143" spans="1:10" x14ac:dyDescent="0.25">
      <c r="A1143" s="18" t="s">
        <v>1022</v>
      </c>
      <c r="B1143">
        <v>0.49432666347105414</v>
      </c>
      <c r="C1143" s="17">
        <f t="shared" si="17"/>
        <v>45807</v>
      </c>
      <c r="D1143" s="17"/>
      <c r="J1143" s="2" t="s">
        <v>1351</v>
      </c>
    </row>
    <row r="1144" spans="1:10" x14ac:dyDescent="0.25">
      <c r="A1144" s="18" t="s">
        <v>1163</v>
      </c>
      <c r="B1144">
        <v>0.49493156968817642</v>
      </c>
      <c r="C1144" s="17">
        <f t="shared" si="17"/>
        <v>45808</v>
      </c>
      <c r="D1144" s="17"/>
      <c r="J1144" s="2" t="s">
        <v>1352</v>
      </c>
    </row>
    <row r="1145" spans="1:10" x14ac:dyDescent="0.25">
      <c r="A1145" s="18" t="s">
        <v>85</v>
      </c>
      <c r="B1145">
        <v>0.49525425220777097</v>
      </c>
      <c r="C1145" s="17">
        <f t="shared" si="17"/>
        <v>45809</v>
      </c>
      <c r="D1145" s="17"/>
      <c r="J1145" s="2" t="s">
        <v>1353</v>
      </c>
    </row>
    <row r="1146" spans="1:10" x14ac:dyDescent="0.25">
      <c r="A1146" s="18" t="s">
        <v>2289</v>
      </c>
      <c r="B1146">
        <v>0.49526289059031425</v>
      </c>
      <c r="C1146" s="17">
        <f t="shared" si="17"/>
        <v>45810</v>
      </c>
      <c r="D1146" s="17"/>
      <c r="J1146" s="2" t="s">
        <v>1354</v>
      </c>
    </row>
    <row r="1147" spans="1:10" x14ac:dyDescent="0.25">
      <c r="A1147" s="18" t="s">
        <v>15</v>
      </c>
      <c r="B1147">
        <v>0.49549862204314121</v>
      </c>
      <c r="C1147" s="17">
        <f t="shared" si="17"/>
        <v>45811</v>
      </c>
      <c r="D1147" s="17"/>
      <c r="J1147" s="2" t="s">
        <v>1355</v>
      </c>
    </row>
    <row r="1148" spans="1:10" x14ac:dyDescent="0.25">
      <c r="A1148" s="18" t="s">
        <v>639</v>
      </c>
      <c r="B1148">
        <v>0.49570645954685255</v>
      </c>
      <c r="C1148" s="17">
        <f t="shared" si="17"/>
        <v>45812</v>
      </c>
      <c r="D1148" s="17"/>
      <c r="J1148" s="2" t="s">
        <v>1356</v>
      </c>
    </row>
    <row r="1149" spans="1:10" x14ac:dyDescent="0.25">
      <c r="A1149" s="18" t="s">
        <v>861</v>
      </c>
      <c r="B1149">
        <v>0.49666773310515466</v>
      </c>
      <c r="C1149" s="17">
        <f t="shared" si="17"/>
        <v>45813</v>
      </c>
      <c r="D1149" s="17"/>
      <c r="J1149" s="2" t="s">
        <v>255</v>
      </c>
    </row>
    <row r="1150" spans="1:10" x14ac:dyDescent="0.25">
      <c r="A1150" s="18" t="s">
        <v>1456</v>
      </c>
      <c r="B1150">
        <v>0.49737941681541642</v>
      </c>
      <c r="C1150" s="17">
        <f t="shared" si="17"/>
        <v>45814</v>
      </c>
      <c r="D1150" s="17"/>
      <c r="J1150" s="2" t="s">
        <v>324</v>
      </c>
    </row>
    <row r="1151" spans="1:10" x14ac:dyDescent="0.25">
      <c r="A1151" s="18" t="s">
        <v>2184</v>
      </c>
      <c r="B1151">
        <v>0.4979875830093603</v>
      </c>
      <c r="C1151" s="17">
        <f t="shared" si="17"/>
        <v>45815</v>
      </c>
      <c r="D1151" s="17"/>
      <c r="J1151" s="2" t="s">
        <v>1357</v>
      </c>
    </row>
    <row r="1152" spans="1:10" x14ac:dyDescent="0.25">
      <c r="A1152" s="18" t="s">
        <v>559</v>
      </c>
      <c r="B1152">
        <v>0.49801394009267286</v>
      </c>
      <c r="C1152" s="17">
        <f t="shared" si="17"/>
        <v>45816</v>
      </c>
      <c r="D1152" s="17"/>
      <c r="J1152" s="2" t="s">
        <v>1358</v>
      </c>
    </row>
    <row r="1153" spans="1:10" x14ac:dyDescent="0.25">
      <c r="A1153" s="18" t="s">
        <v>2074</v>
      </c>
      <c r="B1153">
        <v>0.49816462910832193</v>
      </c>
      <c r="C1153" s="17">
        <f t="shared" si="17"/>
        <v>45817</v>
      </c>
      <c r="D1153" s="17"/>
      <c r="J1153" s="2" t="s">
        <v>1359</v>
      </c>
    </row>
    <row r="1154" spans="1:10" x14ac:dyDescent="0.25">
      <c r="A1154" s="18" t="s">
        <v>625</v>
      </c>
      <c r="B1154">
        <v>0.4983306636559639</v>
      </c>
      <c r="C1154" s="17">
        <f t="shared" si="17"/>
        <v>45818</v>
      </c>
      <c r="D1154" s="17"/>
      <c r="J1154" s="2" t="s">
        <v>1360</v>
      </c>
    </row>
    <row r="1155" spans="1:10" x14ac:dyDescent="0.25">
      <c r="A1155" s="18" t="s">
        <v>1355</v>
      </c>
      <c r="B1155">
        <v>0.49891786846927255</v>
      </c>
      <c r="C1155" s="17">
        <f t="shared" si="17"/>
        <v>45819</v>
      </c>
      <c r="D1155" s="17"/>
      <c r="J1155" s="2" t="s">
        <v>1361</v>
      </c>
    </row>
    <row r="1156" spans="1:10" x14ac:dyDescent="0.25">
      <c r="A1156" s="18" t="s">
        <v>1489</v>
      </c>
      <c r="B1156">
        <v>0.49911345776006188</v>
      </c>
      <c r="C1156" s="17">
        <f t="shared" ref="C1156:C1219" si="18">C1155+1</f>
        <v>45820</v>
      </c>
      <c r="D1156" s="17"/>
      <c r="J1156" s="2" t="s">
        <v>1362</v>
      </c>
    </row>
    <row r="1157" spans="1:10" x14ac:dyDescent="0.25">
      <c r="A1157" s="18" t="s">
        <v>679</v>
      </c>
      <c r="B1157">
        <v>0.49916332178848966</v>
      </c>
      <c r="C1157" s="17">
        <f t="shared" si="18"/>
        <v>45821</v>
      </c>
      <c r="D1157" s="17"/>
      <c r="J1157" s="2" t="s">
        <v>1363</v>
      </c>
    </row>
    <row r="1158" spans="1:10" x14ac:dyDescent="0.25">
      <c r="A1158" s="18" t="s">
        <v>426</v>
      </c>
      <c r="B1158">
        <v>0.49940724443775519</v>
      </c>
      <c r="C1158" s="17">
        <f t="shared" si="18"/>
        <v>45822</v>
      </c>
      <c r="D1158" s="17"/>
      <c r="J1158" s="2" t="s">
        <v>1364</v>
      </c>
    </row>
    <row r="1159" spans="1:10" x14ac:dyDescent="0.25">
      <c r="A1159" s="18" t="s">
        <v>1874</v>
      </c>
      <c r="B1159">
        <v>0.49940790507668587</v>
      </c>
      <c r="C1159" s="17">
        <f t="shared" si="18"/>
        <v>45823</v>
      </c>
      <c r="D1159" s="17"/>
      <c r="J1159" s="2" t="s">
        <v>1365</v>
      </c>
    </row>
    <row r="1160" spans="1:10" x14ac:dyDescent="0.25">
      <c r="A1160" s="18" t="s">
        <v>522</v>
      </c>
      <c r="B1160">
        <v>0.49981496924778157</v>
      </c>
      <c r="C1160" s="17">
        <f t="shared" si="18"/>
        <v>45824</v>
      </c>
      <c r="D1160" s="17"/>
      <c r="J1160" s="2" t="s">
        <v>1366</v>
      </c>
    </row>
    <row r="1161" spans="1:10" x14ac:dyDescent="0.25">
      <c r="A1161" s="18" t="s">
        <v>1857</v>
      </c>
      <c r="B1161">
        <v>0.50008116809456504</v>
      </c>
      <c r="C1161" s="17">
        <f t="shared" si="18"/>
        <v>45825</v>
      </c>
      <c r="D1161" s="17"/>
      <c r="J1161" s="2" t="s">
        <v>1367</v>
      </c>
    </row>
    <row r="1162" spans="1:10" x14ac:dyDescent="0.25">
      <c r="A1162" s="18" t="s">
        <v>755</v>
      </c>
      <c r="B1162">
        <v>0.50023186915555884</v>
      </c>
      <c r="C1162" s="17">
        <f t="shared" si="18"/>
        <v>45826</v>
      </c>
      <c r="D1162" s="17"/>
      <c r="J1162" s="2" t="s">
        <v>1368</v>
      </c>
    </row>
    <row r="1163" spans="1:10" x14ac:dyDescent="0.25">
      <c r="A1163" s="18" t="s">
        <v>874</v>
      </c>
      <c r="B1163">
        <v>0.50071868413484</v>
      </c>
      <c r="C1163" s="17">
        <f t="shared" si="18"/>
        <v>45827</v>
      </c>
      <c r="D1163" s="17"/>
      <c r="J1163" s="2" t="s">
        <v>1369</v>
      </c>
    </row>
    <row r="1164" spans="1:10" x14ac:dyDescent="0.25">
      <c r="A1164" s="18" t="s">
        <v>221</v>
      </c>
      <c r="B1164">
        <v>0.50116028424841974</v>
      </c>
      <c r="C1164" s="17">
        <f t="shared" si="18"/>
        <v>45828</v>
      </c>
      <c r="D1164" s="17"/>
      <c r="J1164" s="2" t="s">
        <v>1370</v>
      </c>
    </row>
    <row r="1165" spans="1:10" x14ac:dyDescent="0.25">
      <c r="A1165" s="18" t="s">
        <v>2266</v>
      </c>
      <c r="B1165">
        <v>0.50138389550299078</v>
      </c>
      <c r="C1165" s="17">
        <f t="shared" si="18"/>
        <v>45829</v>
      </c>
      <c r="D1165" s="17"/>
      <c r="J1165" s="2" t="s">
        <v>1371</v>
      </c>
    </row>
    <row r="1166" spans="1:10" x14ac:dyDescent="0.25">
      <c r="A1166" s="18" t="s">
        <v>1149</v>
      </c>
      <c r="B1166">
        <v>0.50204853534470628</v>
      </c>
      <c r="C1166" s="17">
        <f t="shared" si="18"/>
        <v>45830</v>
      </c>
      <c r="D1166" s="17"/>
      <c r="J1166" s="2" t="s">
        <v>60</v>
      </c>
    </row>
    <row r="1167" spans="1:10" x14ac:dyDescent="0.25">
      <c r="A1167" s="18" t="s">
        <v>1620</v>
      </c>
      <c r="B1167">
        <v>0.50226068507550514</v>
      </c>
      <c r="C1167" s="17">
        <f t="shared" si="18"/>
        <v>45831</v>
      </c>
      <c r="D1167" s="17"/>
      <c r="J1167" s="2" t="s">
        <v>272</v>
      </c>
    </row>
    <row r="1168" spans="1:10" x14ac:dyDescent="0.25">
      <c r="A1168" s="18" t="s">
        <v>1350</v>
      </c>
      <c r="B1168">
        <v>0.50250991501919229</v>
      </c>
      <c r="C1168" s="17">
        <f t="shared" si="18"/>
        <v>45832</v>
      </c>
      <c r="D1168" s="17"/>
      <c r="J1168" s="2" t="s">
        <v>332</v>
      </c>
    </row>
    <row r="1169" spans="1:10" x14ac:dyDescent="0.25">
      <c r="A1169" s="18" t="s">
        <v>1893</v>
      </c>
      <c r="B1169">
        <v>0.50253692974703912</v>
      </c>
      <c r="C1169" s="17">
        <f t="shared" si="18"/>
        <v>45833</v>
      </c>
      <c r="D1169" s="17"/>
      <c r="J1169" s="2" t="s">
        <v>1372</v>
      </c>
    </row>
    <row r="1170" spans="1:10" x14ac:dyDescent="0.25">
      <c r="A1170" s="18" t="s">
        <v>2299</v>
      </c>
      <c r="B1170">
        <v>0.50290791835097381</v>
      </c>
      <c r="C1170" s="17">
        <f t="shared" si="18"/>
        <v>45834</v>
      </c>
      <c r="D1170" s="17"/>
      <c r="J1170" s="2" t="s">
        <v>1373</v>
      </c>
    </row>
    <row r="1171" spans="1:10" x14ac:dyDescent="0.25">
      <c r="A1171" s="18" t="s">
        <v>873</v>
      </c>
      <c r="B1171">
        <v>0.50336237430011699</v>
      </c>
      <c r="C1171" s="17">
        <f t="shared" si="18"/>
        <v>45835</v>
      </c>
      <c r="D1171" s="17"/>
      <c r="J1171" s="2" t="s">
        <v>1374</v>
      </c>
    </row>
    <row r="1172" spans="1:10" x14ac:dyDescent="0.25">
      <c r="A1172" s="18" t="s">
        <v>1478</v>
      </c>
      <c r="B1172">
        <v>0.5052160796563836</v>
      </c>
      <c r="C1172" s="17">
        <f t="shared" si="18"/>
        <v>45836</v>
      </c>
      <c r="D1172" s="17"/>
      <c r="J1172" s="2" t="s">
        <v>1375</v>
      </c>
    </row>
    <row r="1173" spans="1:10" x14ac:dyDescent="0.25">
      <c r="A1173" s="18" t="s">
        <v>202</v>
      </c>
      <c r="B1173">
        <v>0.50524849941413774</v>
      </c>
      <c r="C1173" s="17">
        <f t="shared" si="18"/>
        <v>45837</v>
      </c>
      <c r="D1173" s="17"/>
      <c r="J1173" s="2" t="s">
        <v>1376</v>
      </c>
    </row>
    <row r="1174" spans="1:10" x14ac:dyDescent="0.25">
      <c r="A1174" s="18" t="s">
        <v>586</v>
      </c>
      <c r="B1174">
        <v>0.50554235756686139</v>
      </c>
      <c r="C1174" s="17">
        <f t="shared" si="18"/>
        <v>45838</v>
      </c>
      <c r="D1174" s="17"/>
      <c r="J1174" s="2" t="s">
        <v>462</v>
      </c>
    </row>
    <row r="1175" spans="1:10" x14ac:dyDescent="0.25">
      <c r="A1175" s="18" t="s">
        <v>859</v>
      </c>
      <c r="B1175">
        <v>0.50569158559200678</v>
      </c>
      <c r="C1175" s="17">
        <f t="shared" si="18"/>
        <v>45839</v>
      </c>
      <c r="D1175" s="17"/>
      <c r="J1175" s="2" t="s">
        <v>1377</v>
      </c>
    </row>
    <row r="1176" spans="1:10" x14ac:dyDescent="0.25">
      <c r="A1176" s="18" t="s">
        <v>1841</v>
      </c>
      <c r="B1176">
        <v>0.50683083766786852</v>
      </c>
      <c r="C1176" s="17">
        <f t="shared" si="18"/>
        <v>45840</v>
      </c>
      <c r="D1176" s="17"/>
      <c r="J1176" s="2" t="s">
        <v>1378</v>
      </c>
    </row>
    <row r="1177" spans="1:10" x14ac:dyDescent="0.25">
      <c r="A1177" s="18" t="s">
        <v>1633</v>
      </c>
      <c r="B1177">
        <v>0.50763703548511341</v>
      </c>
      <c r="C1177" s="17">
        <f t="shared" si="18"/>
        <v>45841</v>
      </c>
      <c r="D1177" s="17"/>
      <c r="J1177" s="2" t="s">
        <v>1379</v>
      </c>
    </row>
    <row r="1178" spans="1:10" x14ac:dyDescent="0.25">
      <c r="A1178" s="18" t="s">
        <v>1036</v>
      </c>
      <c r="B1178">
        <v>0.50780266087432202</v>
      </c>
      <c r="C1178" s="17">
        <f t="shared" si="18"/>
        <v>45842</v>
      </c>
      <c r="D1178" s="17"/>
      <c r="J1178" s="2" t="s">
        <v>229</v>
      </c>
    </row>
    <row r="1179" spans="1:10" x14ac:dyDescent="0.25">
      <c r="A1179" s="18" t="s">
        <v>615</v>
      </c>
      <c r="B1179">
        <v>0.50783077128781262</v>
      </c>
      <c r="C1179" s="17">
        <f t="shared" si="18"/>
        <v>45843</v>
      </c>
      <c r="D1179" s="17"/>
      <c r="J1179" s="2" t="s">
        <v>1380</v>
      </c>
    </row>
    <row r="1180" spans="1:10" x14ac:dyDescent="0.25">
      <c r="A1180" s="18" t="s">
        <v>2041</v>
      </c>
      <c r="B1180">
        <v>0.50831303136642669</v>
      </c>
      <c r="C1180" s="17">
        <f t="shared" si="18"/>
        <v>45844</v>
      </c>
      <c r="D1180" s="17"/>
      <c r="J1180" s="2" t="s">
        <v>1381</v>
      </c>
    </row>
    <row r="1181" spans="1:10" x14ac:dyDescent="0.25">
      <c r="A1181" s="18" t="s">
        <v>772</v>
      </c>
      <c r="B1181">
        <v>0.50846530052299688</v>
      </c>
      <c r="C1181" s="17">
        <f t="shared" si="18"/>
        <v>45845</v>
      </c>
      <c r="D1181" s="17"/>
      <c r="J1181" s="2" t="s">
        <v>1382</v>
      </c>
    </row>
    <row r="1182" spans="1:10" x14ac:dyDescent="0.25">
      <c r="A1182" s="18" t="s">
        <v>778</v>
      </c>
      <c r="B1182">
        <v>0.5110645818294236</v>
      </c>
      <c r="C1182" s="17">
        <f t="shared" si="18"/>
        <v>45846</v>
      </c>
      <c r="D1182" s="17"/>
      <c r="J1182" s="2" t="s">
        <v>1383</v>
      </c>
    </row>
    <row r="1183" spans="1:10" x14ac:dyDescent="0.25">
      <c r="A1183" s="18" t="s">
        <v>866</v>
      </c>
      <c r="B1183">
        <v>0.51124546036508567</v>
      </c>
      <c r="C1183" s="17">
        <f t="shared" si="18"/>
        <v>45847</v>
      </c>
      <c r="D1183" s="17"/>
      <c r="J1183" s="2" t="s">
        <v>1384</v>
      </c>
    </row>
    <row r="1184" spans="1:10" x14ac:dyDescent="0.25">
      <c r="A1184" s="18" t="s">
        <v>2216</v>
      </c>
      <c r="B1184">
        <v>0.51215564473823483</v>
      </c>
      <c r="C1184" s="17">
        <f t="shared" si="18"/>
        <v>45848</v>
      </c>
      <c r="D1184" s="17"/>
      <c r="J1184" s="2" t="s">
        <v>1385</v>
      </c>
    </row>
    <row r="1185" spans="1:10" x14ac:dyDescent="0.25">
      <c r="A1185" s="18" t="s">
        <v>96</v>
      </c>
      <c r="B1185">
        <v>0.51221896414792212</v>
      </c>
      <c r="C1185" s="17">
        <f t="shared" si="18"/>
        <v>45849</v>
      </c>
      <c r="D1185" s="17"/>
      <c r="J1185" s="2" t="s">
        <v>1386</v>
      </c>
    </row>
    <row r="1186" spans="1:10" x14ac:dyDescent="0.25">
      <c r="A1186" s="18" t="s">
        <v>336</v>
      </c>
      <c r="B1186">
        <v>0.51247678092049287</v>
      </c>
      <c r="C1186" s="17">
        <f t="shared" si="18"/>
        <v>45850</v>
      </c>
      <c r="D1186" s="17"/>
      <c r="J1186" s="2" t="s">
        <v>1387</v>
      </c>
    </row>
    <row r="1187" spans="1:10" x14ac:dyDescent="0.25">
      <c r="A1187" s="18" t="s">
        <v>1733</v>
      </c>
      <c r="B1187">
        <v>0.51248396747355385</v>
      </c>
      <c r="C1187" s="17">
        <f t="shared" si="18"/>
        <v>45851</v>
      </c>
      <c r="D1187" s="17"/>
      <c r="J1187" s="2" t="s">
        <v>412</v>
      </c>
    </row>
    <row r="1188" spans="1:10" x14ac:dyDescent="0.25">
      <c r="A1188" s="18" t="s">
        <v>1535</v>
      </c>
      <c r="B1188">
        <v>0.51279528721151124</v>
      </c>
      <c r="C1188" s="17">
        <f t="shared" si="18"/>
        <v>45852</v>
      </c>
      <c r="D1188" s="17"/>
      <c r="J1188" s="2" t="s">
        <v>1388</v>
      </c>
    </row>
    <row r="1189" spans="1:10" x14ac:dyDescent="0.25">
      <c r="A1189" s="18" t="s">
        <v>1324</v>
      </c>
      <c r="B1189">
        <v>0.51315475073839079</v>
      </c>
      <c r="C1189" s="17">
        <f t="shared" si="18"/>
        <v>45853</v>
      </c>
      <c r="D1189" s="17"/>
      <c r="J1189" s="2" t="s">
        <v>1389</v>
      </c>
    </row>
    <row r="1190" spans="1:10" x14ac:dyDescent="0.25">
      <c r="A1190" s="18" t="s">
        <v>1424</v>
      </c>
      <c r="B1190">
        <v>0.51353422670313065</v>
      </c>
      <c r="C1190" s="17">
        <f t="shared" si="18"/>
        <v>45854</v>
      </c>
      <c r="D1190" s="17"/>
      <c r="J1190" s="2" t="s">
        <v>1390</v>
      </c>
    </row>
    <row r="1191" spans="1:10" x14ac:dyDescent="0.25">
      <c r="A1191" s="18" t="s">
        <v>573</v>
      </c>
      <c r="B1191">
        <v>0.51424014107370997</v>
      </c>
      <c r="C1191" s="17">
        <f t="shared" si="18"/>
        <v>45855</v>
      </c>
      <c r="D1191" s="17"/>
      <c r="J1191" s="2" t="s">
        <v>1391</v>
      </c>
    </row>
    <row r="1192" spans="1:10" x14ac:dyDescent="0.25">
      <c r="A1192" s="18" t="s">
        <v>865</v>
      </c>
      <c r="B1192">
        <v>0.5143058974335758</v>
      </c>
      <c r="C1192" s="17">
        <f t="shared" si="18"/>
        <v>45856</v>
      </c>
      <c r="D1192" s="17"/>
      <c r="J1192" s="2" t="s">
        <v>1392</v>
      </c>
    </row>
    <row r="1193" spans="1:10" x14ac:dyDescent="0.25">
      <c r="A1193" s="18" t="s">
        <v>136</v>
      </c>
      <c r="B1193">
        <v>0.51444533278876003</v>
      </c>
      <c r="C1193" s="17">
        <f t="shared" si="18"/>
        <v>45857</v>
      </c>
      <c r="D1193" s="17"/>
      <c r="J1193" s="2" t="s">
        <v>455</v>
      </c>
    </row>
    <row r="1194" spans="1:10" x14ac:dyDescent="0.25">
      <c r="A1194" s="18" t="s">
        <v>918</v>
      </c>
      <c r="B1194">
        <v>0.51466477072758532</v>
      </c>
      <c r="C1194" s="17">
        <f t="shared" si="18"/>
        <v>45858</v>
      </c>
      <c r="D1194" s="17"/>
      <c r="J1194" s="2" t="s">
        <v>1393</v>
      </c>
    </row>
    <row r="1195" spans="1:10" x14ac:dyDescent="0.25">
      <c r="A1195" s="18" t="s">
        <v>1383</v>
      </c>
      <c r="B1195">
        <v>0.51557863045606378</v>
      </c>
      <c r="C1195" s="17">
        <f t="shared" si="18"/>
        <v>45859</v>
      </c>
      <c r="D1195" s="17"/>
      <c r="J1195" s="2" t="s">
        <v>25</v>
      </c>
    </row>
    <row r="1196" spans="1:10" x14ac:dyDescent="0.25">
      <c r="A1196" s="18" t="s">
        <v>954</v>
      </c>
      <c r="B1196">
        <v>0.51612891019007878</v>
      </c>
      <c r="C1196" s="17">
        <f t="shared" si="18"/>
        <v>45860</v>
      </c>
      <c r="D1196" s="17"/>
      <c r="J1196" s="2" t="s">
        <v>1394</v>
      </c>
    </row>
    <row r="1197" spans="1:10" x14ac:dyDescent="0.25">
      <c r="A1197" s="18" t="s">
        <v>1327</v>
      </c>
      <c r="B1197">
        <v>0.51615424307036228</v>
      </c>
      <c r="C1197" s="17">
        <f t="shared" si="18"/>
        <v>45861</v>
      </c>
      <c r="D1197" s="17"/>
      <c r="J1197" s="2" t="s">
        <v>1395</v>
      </c>
    </row>
    <row r="1198" spans="1:10" x14ac:dyDescent="0.25">
      <c r="A1198" s="18" t="s">
        <v>1919</v>
      </c>
      <c r="B1198">
        <v>0.51624557940511084</v>
      </c>
      <c r="C1198" s="17">
        <f t="shared" si="18"/>
        <v>45862</v>
      </c>
      <c r="D1198" s="17"/>
      <c r="J1198" s="2" t="s">
        <v>1396</v>
      </c>
    </row>
    <row r="1199" spans="1:10" x14ac:dyDescent="0.25">
      <c r="A1199" s="18" t="s">
        <v>1178</v>
      </c>
      <c r="B1199">
        <v>0.51631884776285353</v>
      </c>
      <c r="C1199" s="17">
        <f t="shared" si="18"/>
        <v>45863</v>
      </c>
      <c r="D1199" s="17"/>
      <c r="J1199" s="2" t="s">
        <v>1397</v>
      </c>
    </row>
    <row r="1200" spans="1:10" x14ac:dyDescent="0.25">
      <c r="A1200" s="18" t="s">
        <v>1212</v>
      </c>
      <c r="B1200">
        <v>0.51696565179443466</v>
      </c>
      <c r="C1200" s="17">
        <f t="shared" si="18"/>
        <v>45864</v>
      </c>
      <c r="D1200" s="17"/>
      <c r="J1200" s="2" t="s">
        <v>32</v>
      </c>
    </row>
    <row r="1201" spans="1:10" x14ac:dyDescent="0.25">
      <c r="A1201" s="18" t="s">
        <v>1804</v>
      </c>
      <c r="B1201">
        <v>0.51709801095024166</v>
      </c>
      <c r="C1201" s="17">
        <f t="shared" si="18"/>
        <v>45865</v>
      </c>
      <c r="D1201" s="17"/>
      <c r="J1201" s="2" t="s">
        <v>1398</v>
      </c>
    </row>
    <row r="1202" spans="1:10" x14ac:dyDescent="0.25">
      <c r="A1202" s="18" t="s">
        <v>195</v>
      </c>
      <c r="B1202">
        <v>0.51710303753812181</v>
      </c>
      <c r="C1202" s="17">
        <f t="shared" si="18"/>
        <v>45866</v>
      </c>
      <c r="D1202" s="17"/>
      <c r="J1202" s="2" t="s">
        <v>334</v>
      </c>
    </row>
    <row r="1203" spans="1:10" x14ac:dyDescent="0.25">
      <c r="A1203" s="18" t="s">
        <v>2277</v>
      </c>
      <c r="B1203">
        <v>0.51753268401913188</v>
      </c>
      <c r="C1203" s="17">
        <f t="shared" si="18"/>
        <v>45867</v>
      </c>
      <c r="D1203" s="17"/>
      <c r="J1203" s="2" t="s">
        <v>1399</v>
      </c>
    </row>
    <row r="1204" spans="1:10" x14ac:dyDescent="0.25">
      <c r="A1204" s="18" t="s">
        <v>162</v>
      </c>
      <c r="B1204">
        <v>0.51774115203848015</v>
      </c>
      <c r="C1204" s="17">
        <f t="shared" si="18"/>
        <v>45868</v>
      </c>
      <c r="D1204" s="17"/>
      <c r="J1204" s="2" t="s">
        <v>1400</v>
      </c>
    </row>
    <row r="1205" spans="1:10" x14ac:dyDescent="0.25">
      <c r="A1205" s="18" t="s">
        <v>2249</v>
      </c>
      <c r="B1205">
        <v>0.51878810121287433</v>
      </c>
      <c r="C1205" s="17">
        <f t="shared" si="18"/>
        <v>45869</v>
      </c>
      <c r="D1205" s="17"/>
      <c r="J1205" s="2" t="s">
        <v>1401</v>
      </c>
    </row>
    <row r="1206" spans="1:10" x14ac:dyDescent="0.25">
      <c r="A1206" s="18" t="s">
        <v>1501</v>
      </c>
      <c r="B1206">
        <v>0.52054517025111502</v>
      </c>
      <c r="C1206" s="17">
        <f t="shared" si="18"/>
        <v>45870</v>
      </c>
      <c r="D1206" s="17"/>
      <c r="J1206" s="2" t="s">
        <v>407</v>
      </c>
    </row>
    <row r="1207" spans="1:10" x14ac:dyDescent="0.25">
      <c r="A1207" s="18" t="s">
        <v>1979</v>
      </c>
      <c r="B1207">
        <v>0.52075832710954195</v>
      </c>
      <c r="C1207" s="17">
        <f t="shared" si="18"/>
        <v>45871</v>
      </c>
      <c r="D1207" s="17"/>
      <c r="J1207" s="2" t="s">
        <v>1402</v>
      </c>
    </row>
    <row r="1208" spans="1:10" x14ac:dyDescent="0.25">
      <c r="A1208" s="18" t="s">
        <v>617</v>
      </c>
      <c r="B1208">
        <v>0.52095499934645029</v>
      </c>
      <c r="C1208" s="17">
        <f t="shared" si="18"/>
        <v>45872</v>
      </c>
      <c r="D1208" s="17"/>
      <c r="J1208" s="2" t="s">
        <v>1403</v>
      </c>
    </row>
    <row r="1209" spans="1:10" x14ac:dyDescent="0.25">
      <c r="A1209" s="18" t="s">
        <v>132</v>
      </c>
      <c r="B1209">
        <v>0.52097029795220295</v>
      </c>
      <c r="C1209" s="17">
        <f t="shared" si="18"/>
        <v>45873</v>
      </c>
      <c r="D1209" s="17"/>
      <c r="J1209" s="2" t="s">
        <v>1404</v>
      </c>
    </row>
    <row r="1210" spans="1:10" x14ac:dyDescent="0.25">
      <c r="A1210" s="18" t="s">
        <v>1959</v>
      </c>
      <c r="B1210">
        <v>0.52102971448605984</v>
      </c>
      <c r="C1210" s="17">
        <f t="shared" si="18"/>
        <v>45874</v>
      </c>
      <c r="D1210" s="17"/>
      <c r="J1210" s="2" t="s">
        <v>1405</v>
      </c>
    </row>
    <row r="1211" spans="1:10" x14ac:dyDescent="0.25">
      <c r="A1211" s="18" t="s">
        <v>674</v>
      </c>
      <c r="B1211">
        <v>0.52133267600036182</v>
      </c>
      <c r="C1211" s="17">
        <f t="shared" si="18"/>
        <v>45875</v>
      </c>
      <c r="D1211" s="17"/>
      <c r="J1211" s="2" t="s">
        <v>1406</v>
      </c>
    </row>
    <row r="1212" spans="1:10" x14ac:dyDescent="0.25">
      <c r="A1212" s="18" t="s">
        <v>1245</v>
      </c>
      <c r="B1212">
        <v>0.52252723704020299</v>
      </c>
      <c r="C1212" s="17">
        <f t="shared" si="18"/>
        <v>45876</v>
      </c>
      <c r="D1212" s="17"/>
      <c r="J1212" s="2" t="s">
        <v>1407</v>
      </c>
    </row>
    <row r="1213" spans="1:10" x14ac:dyDescent="0.25">
      <c r="A1213" s="18" t="s">
        <v>2256</v>
      </c>
      <c r="B1213">
        <v>0.52424618938449019</v>
      </c>
      <c r="C1213" s="17">
        <f t="shared" si="18"/>
        <v>45877</v>
      </c>
      <c r="D1213" s="17"/>
      <c r="J1213" s="2" t="s">
        <v>1408</v>
      </c>
    </row>
    <row r="1214" spans="1:10" x14ac:dyDescent="0.25">
      <c r="A1214" s="18" t="s">
        <v>1426</v>
      </c>
      <c r="B1214">
        <v>0.52428647477462309</v>
      </c>
      <c r="C1214" s="17">
        <f t="shared" si="18"/>
        <v>45878</v>
      </c>
      <c r="D1214" s="17"/>
      <c r="J1214" s="2" t="s">
        <v>1409</v>
      </c>
    </row>
    <row r="1215" spans="1:10" x14ac:dyDescent="0.25">
      <c r="A1215" s="18" t="s">
        <v>227</v>
      </c>
      <c r="B1215">
        <v>0.52553334252098782</v>
      </c>
      <c r="C1215" s="17">
        <f t="shared" si="18"/>
        <v>45879</v>
      </c>
      <c r="D1215" s="17"/>
      <c r="J1215" s="2" t="s">
        <v>328</v>
      </c>
    </row>
    <row r="1216" spans="1:10" x14ac:dyDescent="0.25">
      <c r="A1216" s="18" t="s">
        <v>614</v>
      </c>
      <c r="B1216">
        <v>0.52567436743834095</v>
      </c>
      <c r="C1216" s="17">
        <f t="shared" si="18"/>
        <v>45880</v>
      </c>
      <c r="D1216" s="17"/>
      <c r="J1216" s="2" t="s">
        <v>1410</v>
      </c>
    </row>
    <row r="1217" spans="1:10" x14ac:dyDescent="0.25">
      <c r="A1217" s="18" t="s">
        <v>563</v>
      </c>
      <c r="B1217">
        <v>0.52580278108712097</v>
      </c>
      <c r="C1217" s="17">
        <f t="shared" si="18"/>
        <v>45881</v>
      </c>
      <c r="D1217" s="17"/>
      <c r="J1217" s="2" t="s">
        <v>452</v>
      </c>
    </row>
    <row r="1218" spans="1:10" x14ac:dyDescent="0.25">
      <c r="A1218" s="18" t="s">
        <v>160</v>
      </c>
      <c r="B1218">
        <v>0.52602676162553297</v>
      </c>
      <c r="C1218" s="17">
        <f t="shared" si="18"/>
        <v>45882</v>
      </c>
      <c r="D1218" s="17"/>
      <c r="J1218" s="2" t="s">
        <v>1411</v>
      </c>
    </row>
    <row r="1219" spans="1:10" x14ac:dyDescent="0.25">
      <c r="A1219" s="18" t="s">
        <v>2022</v>
      </c>
      <c r="B1219">
        <v>0.52697180487012218</v>
      </c>
      <c r="C1219" s="17">
        <f t="shared" si="18"/>
        <v>45883</v>
      </c>
      <c r="D1219" s="17"/>
      <c r="J1219" s="2" t="s">
        <v>1412</v>
      </c>
    </row>
    <row r="1220" spans="1:10" x14ac:dyDescent="0.25">
      <c r="A1220" s="18" t="s">
        <v>1325</v>
      </c>
      <c r="B1220">
        <v>0.52727196033327894</v>
      </c>
      <c r="C1220" s="17">
        <f t="shared" ref="C1220:C1283" si="19">C1219+1</f>
        <v>45884</v>
      </c>
      <c r="D1220" s="17"/>
      <c r="J1220" s="2" t="s">
        <v>1413</v>
      </c>
    </row>
    <row r="1221" spans="1:10" x14ac:dyDescent="0.25">
      <c r="A1221" s="18" t="s">
        <v>1446</v>
      </c>
      <c r="B1221">
        <v>0.52733041327341679</v>
      </c>
      <c r="C1221" s="17">
        <f t="shared" si="19"/>
        <v>45885</v>
      </c>
      <c r="D1221" s="17"/>
      <c r="J1221" s="2" t="s">
        <v>1414</v>
      </c>
    </row>
    <row r="1222" spans="1:10" x14ac:dyDescent="0.25">
      <c r="A1222" s="18" t="s">
        <v>1249</v>
      </c>
      <c r="B1222">
        <v>0.52738302130451342</v>
      </c>
      <c r="C1222" s="17">
        <f t="shared" si="19"/>
        <v>45886</v>
      </c>
      <c r="D1222" s="17"/>
      <c r="J1222" s="2" t="s">
        <v>1415</v>
      </c>
    </row>
    <row r="1223" spans="1:10" x14ac:dyDescent="0.25">
      <c r="A1223" s="18" t="s">
        <v>718</v>
      </c>
      <c r="B1223">
        <v>0.52896172540045938</v>
      </c>
      <c r="C1223" s="17">
        <f t="shared" si="19"/>
        <v>45887</v>
      </c>
      <c r="D1223" s="17"/>
      <c r="J1223" s="2" t="s">
        <v>1416</v>
      </c>
    </row>
    <row r="1224" spans="1:10" x14ac:dyDescent="0.25">
      <c r="A1224" s="18" t="s">
        <v>720</v>
      </c>
      <c r="B1224">
        <v>0.5292288699713803</v>
      </c>
      <c r="C1224" s="17">
        <f t="shared" si="19"/>
        <v>45888</v>
      </c>
      <c r="D1224" s="17"/>
      <c r="J1224" s="2" t="s">
        <v>1417</v>
      </c>
    </row>
    <row r="1225" spans="1:10" x14ac:dyDescent="0.25">
      <c r="A1225" s="18" t="s">
        <v>1014</v>
      </c>
      <c r="B1225">
        <v>0.52998519253172793</v>
      </c>
      <c r="C1225" s="17">
        <f t="shared" si="19"/>
        <v>45889</v>
      </c>
      <c r="D1225" s="17"/>
      <c r="J1225" s="2" t="s">
        <v>1418</v>
      </c>
    </row>
    <row r="1226" spans="1:10" x14ac:dyDescent="0.25">
      <c r="A1226" s="18" t="s">
        <v>377</v>
      </c>
      <c r="B1226">
        <v>0.53088024348185348</v>
      </c>
      <c r="C1226" s="17">
        <f t="shared" si="19"/>
        <v>45890</v>
      </c>
      <c r="D1226" s="17"/>
      <c r="J1226" s="2" t="s">
        <v>1419</v>
      </c>
    </row>
    <row r="1227" spans="1:10" x14ac:dyDescent="0.25">
      <c r="A1227" s="18" t="s">
        <v>1565</v>
      </c>
      <c r="B1227">
        <v>0.53142554453313096</v>
      </c>
      <c r="C1227" s="17">
        <f t="shared" si="19"/>
        <v>45891</v>
      </c>
      <c r="D1227" s="17"/>
      <c r="J1227" s="2" t="s">
        <v>1420</v>
      </c>
    </row>
    <row r="1228" spans="1:10" x14ac:dyDescent="0.25">
      <c r="A1228" s="18" t="s">
        <v>200</v>
      </c>
      <c r="B1228">
        <v>0.53205130482671781</v>
      </c>
      <c r="C1228" s="17">
        <f t="shared" si="19"/>
        <v>45892</v>
      </c>
      <c r="D1228" s="17"/>
      <c r="J1228" s="2" t="s">
        <v>1421</v>
      </c>
    </row>
    <row r="1229" spans="1:10" x14ac:dyDescent="0.25">
      <c r="A1229" s="18" t="s">
        <v>2107</v>
      </c>
      <c r="B1229">
        <v>0.53217585372621723</v>
      </c>
      <c r="C1229" s="17">
        <f t="shared" si="19"/>
        <v>45893</v>
      </c>
      <c r="D1229" s="17"/>
      <c r="J1229" s="2" t="s">
        <v>1422</v>
      </c>
    </row>
    <row r="1230" spans="1:10" x14ac:dyDescent="0.25">
      <c r="A1230" s="18" t="s">
        <v>2123</v>
      </c>
      <c r="B1230">
        <v>0.53260606433628876</v>
      </c>
      <c r="C1230" s="17">
        <f t="shared" si="19"/>
        <v>45894</v>
      </c>
      <c r="D1230" s="17"/>
      <c r="J1230" s="2" t="s">
        <v>1423</v>
      </c>
    </row>
    <row r="1231" spans="1:10" x14ac:dyDescent="0.25">
      <c r="A1231" s="18" t="s">
        <v>126</v>
      </c>
      <c r="B1231">
        <v>0.53349739358441794</v>
      </c>
      <c r="C1231" s="17">
        <f t="shared" si="19"/>
        <v>45895</v>
      </c>
      <c r="D1231" s="17"/>
      <c r="J1231" s="2" t="s">
        <v>1424</v>
      </c>
    </row>
    <row r="1232" spans="1:10" x14ac:dyDescent="0.25">
      <c r="A1232" s="18" t="s">
        <v>762</v>
      </c>
      <c r="B1232">
        <v>0.53496090503074623</v>
      </c>
      <c r="C1232" s="17">
        <f t="shared" si="19"/>
        <v>45896</v>
      </c>
      <c r="D1232" s="17"/>
      <c r="J1232" s="2" t="s">
        <v>1425</v>
      </c>
    </row>
    <row r="1233" spans="1:10" x14ac:dyDescent="0.25">
      <c r="A1233" s="18" t="s">
        <v>1568</v>
      </c>
      <c r="B1233">
        <v>0.53504098642110609</v>
      </c>
      <c r="C1233" s="17">
        <f t="shared" si="19"/>
        <v>45897</v>
      </c>
      <c r="D1233" s="17"/>
      <c r="J1233" s="2" t="s">
        <v>361</v>
      </c>
    </row>
    <row r="1234" spans="1:10" x14ac:dyDescent="0.25">
      <c r="A1234" s="18" t="s">
        <v>1715</v>
      </c>
      <c r="B1234">
        <v>0.5355280735798591</v>
      </c>
      <c r="C1234" s="17">
        <f t="shared" si="19"/>
        <v>45898</v>
      </c>
      <c r="D1234" s="17"/>
      <c r="J1234" s="2" t="s">
        <v>1426</v>
      </c>
    </row>
    <row r="1235" spans="1:10" x14ac:dyDescent="0.25">
      <c r="A1235" s="18" t="s">
        <v>379</v>
      </c>
      <c r="B1235">
        <v>0.53568527845385805</v>
      </c>
      <c r="C1235" s="17">
        <f t="shared" si="19"/>
        <v>45899</v>
      </c>
      <c r="D1235" s="17"/>
      <c r="J1235" s="2" t="s">
        <v>340</v>
      </c>
    </row>
    <row r="1236" spans="1:10" x14ac:dyDescent="0.25">
      <c r="A1236" s="18" t="s">
        <v>1666</v>
      </c>
      <c r="B1236">
        <v>0.53575874415423985</v>
      </c>
      <c r="C1236" s="17">
        <f t="shared" si="19"/>
        <v>45900</v>
      </c>
      <c r="D1236" s="17"/>
      <c r="J1236" s="2" t="s">
        <v>1427</v>
      </c>
    </row>
    <row r="1237" spans="1:10" x14ac:dyDescent="0.25">
      <c r="A1237" s="18" t="s">
        <v>2176</v>
      </c>
      <c r="B1237">
        <v>0.53622951120155604</v>
      </c>
      <c r="C1237" s="17">
        <f t="shared" si="19"/>
        <v>45901</v>
      </c>
      <c r="D1237" s="17"/>
      <c r="J1237" s="2" t="s">
        <v>1428</v>
      </c>
    </row>
    <row r="1238" spans="1:10" x14ac:dyDescent="0.25">
      <c r="A1238" s="18" t="s">
        <v>1374</v>
      </c>
      <c r="B1238">
        <v>0.53652694260383571</v>
      </c>
      <c r="C1238" s="17">
        <f t="shared" si="19"/>
        <v>45902</v>
      </c>
      <c r="D1238" s="17"/>
      <c r="J1238" s="2" t="s">
        <v>1429</v>
      </c>
    </row>
    <row r="1239" spans="1:10" x14ac:dyDescent="0.25">
      <c r="A1239" s="18" t="s">
        <v>904</v>
      </c>
      <c r="B1239">
        <v>0.53795798078699508</v>
      </c>
      <c r="C1239" s="17">
        <f t="shared" si="19"/>
        <v>45903</v>
      </c>
      <c r="D1239" s="17"/>
      <c r="J1239" s="2" t="s">
        <v>1430</v>
      </c>
    </row>
    <row r="1240" spans="1:10" x14ac:dyDescent="0.25">
      <c r="A1240" s="18" t="s">
        <v>1655</v>
      </c>
      <c r="B1240">
        <v>0.53845855002498688</v>
      </c>
      <c r="C1240" s="17">
        <f t="shared" si="19"/>
        <v>45904</v>
      </c>
      <c r="D1240" s="17"/>
      <c r="J1240" s="2" t="s">
        <v>1431</v>
      </c>
    </row>
    <row r="1241" spans="1:10" x14ac:dyDescent="0.25">
      <c r="A1241" s="18" t="s">
        <v>1322</v>
      </c>
      <c r="B1241">
        <v>0.53846755185075834</v>
      </c>
      <c r="C1241" s="17">
        <f t="shared" si="19"/>
        <v>45905</v>
      </c>
      <c r="D1241" s="17"/>
      <c r="J1241" s="2" t="s">
        <v>1432</v>
      </c>
    </row>
    <row r="1242" spans="1:10" x14ac:dyDescent="0.25">
      <c r="A1242" s="18" t="s">
        <v>1793</v>
      </c>
      <c r="B1242">
        <v>0.53852561250920583</v>
      </c>
      <c r="C1242" s="17">
        <f t="shared" si="19"/>
        <v>45906</v>
      </c>
      <c r="D1242" s="17"/>
      <c r="J1242" s="2" t="s">
        <v>1433</v>
      </c>
    </row>
    <row r="1243" spans="1:10" x14ac:dyDescent="0.25">
      <c r="A1243" s="18" t="s">
        <v>747</v>
      </c>
      <c r="B1243">
        <v>0.53926153490398898</v>
      </c>
      <c r="C1243" s="17">
        <f t="shared" si="19"/>
        <v>45907</v>
      </c>
      <c r="D1243" s="17"/>
      <c r="J1243" s="2" t="s">
        <v>279</v>
      </c>
    </row>
    <row r="1244" spans="1:10" x14ac:dyDescent="0.25">
      <c r="A1244" s="18" t="s">
        <v>1121</v>
      </c>
      <c r="B1244">
        <v>0.54252825458027076</v>
      </c>
      <c r="C1244" s="17">
        <f t="shared" si="19"/>
        <v>45908</v>
      </c>
      <c r="D1244" s="17"/>
      <c r="J1244" s="2" t="s">
        <v>1434</v>
      </c>
    </row>
    <row r="1245" spans="1:10" x14ac:dyDescent="0.25">
      <c r="A1245" s="18" t="s">
        <v>1174</v>
      </c>
      <c r="B1245">
        <v>0.54331513786764229</v>
      </c>
      <c r="C1245" s="17">
        <f t="shared" si="19"/>
        <v>45909</v>
      </c>
      <c r="D1245" s="17"/>
      <c r="J1245" s="2" t="s">
        <v>1435</v>
      </c>
    </row>
    <row r="1246" spans="1:10" x14ac:dyDescent="0.25">
      <c r="A1246" s="18" t="s">
        <v>1247</v>
      </c>
      <c r="B1246">
        <v>0.5434463742336566</v>
      </c>
      <c r="C1246" s="17">
        <f t="shared" si="19"/>
        <v>45910</v>
      </c>
      <c r="D1246" s="17"/>
      <c r="J1246" s="2" t="s">
        <v>1436</v>
      </c>
    </row>
    <row r="1247" spans="1:10" x14ac:dyDescent="0.25">
      <c r="A1247" s="18" t="s">
        <v>1754</v>
      </c>
      <c r="B1247">
        <v>0.54570097574097542</v>
      </c>
      <c r="C1247" s="17">
        <f t="shared" si="19"/>
        <v>45911</v>
      </c>
      <c r="D1247" s="17"/>
      <c r="J1247" s="2" t="s">
        <v>1437</v>
      </c>
    </row>
    <row r="1248" spans="1:10" x14ac:dyDescent="0.25">
      <c r="A1248" s="18" t="s">
        <v>1228</v>
      </c>
      <c r="B1248">
        <v>0.54604167919438296</v>
      </c>
      <c r="C1248" s="17">
        <f t="shared" si="19"/>
        <v>45912</v>
      </c>
      <c r="D1248" s="17"/>
      <c r="J1248" s="2" t="s">
        <v>1438</v>
      </c>
    </row>
    <row r="1249" spans="1:10" x14ac:dyDescent="0.25">
      <c r="A1249" s="18" t="s">
        <v>2236</v>
      </c>
      <c r="B1249">
        <v>0.54681012469940149</v>
      </c>
      <c r="C1249" s="17">
        <f t="shared" si="19"/>
        <v>45913</v>
      </c>
      <c r="D1249" s="17"/>
      <c r="J1249" s="2" t="s">
        <v>1439</v>
      </c>
    </row>
    <row r="1250" spans="1:10" x14ac:dyDescent="0.25">
      <c r="A1250" s="18" t="s">
        <v>1060</v>
      </c>
      <c r="B1250">
        <v>0.54891421261103701</v>
      </c>
      <c r="C1250" s="17">
        <f t="shared" si="19"/>
        <v>45914</v>
      </c>
      <c r="D1250" s="17"/>
      <c r="J1250" s="2" t="s">
        <v>370</v>
      </c>
    </row>
    <row r="1251" spans="1:10" x14ac:dyDescent="0.25">
      <c r="A1251" s="18" t="s">
        <v>863</v>
      </c>
      <c r="B1251">
        <v>0.54892101667417315</v>
      </c>
      <c r="C1251" s="17">
        <f t="shared" si="19"/>
        <v>45915</v>
      </c>
      <c r="D1251" s="17"/>
      <c r="J1251" s="2" t="s">
        <v>1440</v>
      </c>
    </row>
    <row r="1252" spans="1:10" x14ac:dyDescent="0.25">
      <c r="A1252" s="18" t="s">
        <v>1216</v>
      </c>
      <c r="B1252">
        <v>0.54976490251771704</v>
      </c>
      <c r="C1252" s="17">
        <f t="shared" si="19"/>
        <v>45916</v>
      </c>
      <c r="D1252" s="17"/>
      <c r="J1252" s="2" t="s">
        <v>1441</v>
      </c>
    </row>
    <row r="1253" spans="1:10" x14ac:dyDescent="0.25">
      <c r="A1253" s="18" t="s">
        <v>392</v>
      </c>
      <c r="B1253">
        <v>0.54989413682585797</v>
      </c>
      <c r="C1253" s="17">
        <f t="shared" si="19"/>
        <v>45917</v>
      </c>
      <c r="D1253" s="17"/>
      <c r="J1253" s="2" t="s">
        <v>1442</v>
      </c>
    </row>
    <row r="1254" spans="1:10" x14ac:dyDescent="0.25">
      <c r="A1254" s="18" t="s">
        <v>316</v>
      </c>
      <c r="B1254">
        <v>0.55037126529628277</v>
      </c>
      <c r="C1254" s="17">
        <f t="shared" si="19"/>
        <v>45918</v>
      </c>
      <c r="D1254" s="17"/>
      <c r="J1254" s="2" t="s">
        <v>1443</v>
      </c>
    </row>
    <row r="1255" spans="1:10" x14ac:dyDescent="0.25">
      <c r="A1255" s="18" t="s">
        <v>314</v>
      </c>
      <c r="B1255">
        <v>0.55119155951803145</v>
      </c>
      <c r="C1255" s="17">
        <f t="shared" si="19"/>
        <v>45919</v>
      </c>
      <c r="D1255" s="17"/>
      <c r="J1255" s="2" t="s">
        <v>1444</v>
      </c>
    </row>
    <row r="1256" spans="1:10" x14ac:dyDescent="0.25">
      <c r="A1256" s="18" t="s">
        <v>1828</v>
      </c>
      <c r="B1256">
        <v>0.55119272428423571</v>
      </c>
      <c r="C1256" s="17">
        <f t="shared" si="19"/>
        <v>45920</v>
      </c>
      <c r="D1256" s="17"/>
      <c r="J1256" s="2" t="s">
        <v>1445</v>
      </c>
    </row>
    <row r="1257" spans="1:10" x14ac:dyDescent="0.25">
      <c r="A1257" s="18" t="s">
        <v>461</v>
      </c>
      <c r="B1257">
        <v>0.55138383729782214</v>
      </c>
      <c r="C1257" s="17">
        <f t="shared" si="19"/>
        <v>45921</v>
      </c>
      <c r="D1257" s="17"/>
      <c r="J1257" s="2" t="s">
        <v>1446</v>
      </c>
    </row>
    <row r="1258" spans="1:10" x14ac:dyDescent="0.25">
      <c r="A1258" s="18" t="s">
        <v>404</v>
      </c>
      <c r="B1258">
        <v>0.55140849547395687</v>
      </c>
      <c r="C1258" s="17">
        <f t="shared" si="19"/>
        <v>45922</v>
      </c>
      <c r="D1258" s="17"/>
      <c r="J1258" s="2" t="s">
        <v>1447</v>
      </c>
    </row>
    <row r="1259" spans="1:10" x14ac:dyDescent="0.25">
      <c r="A1259" s="18" t="s">
        <v>1170</v>
      </c>
      <c r="B1259">
        <v>0.55154805064416768</v>
      </c>
      <c r="C1259" s="17">
        <f t="shared" si="19"/>
        <v>45923</v>
      </c>
      <c r="D1259" s="17"/>
      <c r="J1259" s="2" t="s">
        <v>1448</v>
      </c>
    </row>
    <row r="1260" spans="1:10" x14ac:dyDescent="0.25">
      <c r="A1260" s="18" t="s">
        <v>2060</v>
      </c>
      <c r="B1260">
        <v>0.55182231548515048</v>
      </c>
      <c r="C1260" s="17">
        <f t="shared" si="19"/>
        <v>45924</v>
      </c>
      <c r="D1260" s="17"/>
      <c r="J1260" s="2" t="s">
        <v>1449</v>
      </c>
    </row>
    <row r="1261" spans="1:10" x14ac:dyDescent="0.25">
      <c r="A1261" s="18" t="s">
        <v>1471</v>
      </c>
      <c r="B1261">
        <v>0.5520194122245804</v>
      </c>
      <c r="C1261" s="17">
        <f t="shared" si="19"/>
        <v>45925</v>
      </c>
      <c r="D1261" s="17"/>
      <c r="J1261" s="2" t="s">
        <v>1450</v>
      </c>
    </row>
    <row r="1262" spans="1:10" x14ac:dyDescent="0.25">
      <c r="A1262" s="18" t="s">
        <v>1578</v>
      </c>
      <c r="B1262">
        <v>0.55250677869665932</v>
      </c>
      <c r="C1262" s="17">
        <f t="shared" si="19"/>
        <v>45926</v>
      </c>
      <c r="D1262" s="17"/>
      <c r="J1262" s="2" t="s">
        <v>1451</v>
      </c>
    </row>
    <row r="1263" spans="1:10" x14ac:dyDescent="0.25">
      <c r="A1263" s="18" t="s">
        <v>2150</v>
      </c>
      <c r="B1263">
        <v>0.55258483235260558</v>
      </c>
      <c r="C1263" s="17">
        <f t="shared" si="19"/>
        <v>45927</v>
      </c>
      <c r="D1263" s="17"/>
      <c r="J1263" s="2" t="s">
        <v>17</v>
      </c>
    </row>
    <row r="1264" spans="1:10" x14ac:dyDescent="0.25">
      <c r="A1264" s="18" t="s">
        <v>1964</v>
      </c>
      <c r="B1264">
        <v>0.55286010005917086</v>
      </c>
      <c r="C1264" s="17">
        <f t="shared" si="19"/>
        <v>45928</v>
      </c>
      <c r="D1264" s="17"/>
      <c r="J1264" s="2" t="s">
        <v>1452</v>
      </c>
    </row>
    <row r="1265" spans="1:10" x14ac:dyDescent="0.25">
      <c r="A1265" s="18" t="s">
        <v>551</v>
      </c>
      <c r="B1265">
        <v>0.55310437393708867</v>
      </c>
      <c r="C1265" s="17">
        <f t="shared" si="19"/>
        <v>45929</v>
      </c>
      <c r="D1265" s="17"/>
      <c r="J1265" s="2" t="s">
        <v>1453</v>
      </c>
    </row>
    <row r="1266" spans="1:10" x14ac:dyDescent="0.25">
      <c r="A1266" s="18" t="s">
        <v>1908</v>
      </c>
      <c r="B1266">
        <v>0.55373324242387867</v>
      </c>
      <c r="C1266" s="17">
        <f t="shared" si="19"/>
        <v>45930</v>
      </c>
      <c r="D1266" s="17"/>
      <c r="J1266" s="2" t="s">
        <v>1454</v>
      </c>
    </row>
    <row r="1267" spans="1:10" x14ac:dyDescent="0.25">
      <c r="A1267" s="18" t="s">
        <v>1472</v>
      </c>
      <c r="B1267">
        <v>0.5537551072934046</v>
      </c>
      <c r="C1267" s="17">
        <f t="shared" si="19"/>
        <v>45931</v>
      </c>
      <c r="D1267" s="17"/>
      <c r="J1267" s="2" t="s">
        <v>1455</v>
      </c>
    </row>
    <row r="1268" spans="1:10" x14ac:dyDescent="0.25">
      <c r="A1268" s="18" t="s">
        <v>1757</v>
      </c>
      <c r="B1268">
        <v>0.55382232630938355</v>
      </c>
      <c r="C1268" s="17">
        <f t="shared" si="19"/>
        <v>45932</v>
      </c>
      <c r="D1268" s="17"/>
      <c r="J1268" s="2" t="s">
        <v>1456</v>
      </c>
    </row>
    <row r="1269" spans="1:10" x14ac:dyDescent="0.25">
      <c r="A1269" s="18" t="s">
        <v>1347</v>
      </c>
      <c r="B1269">
        <v>0.55384467919363367</v>
      </c>
      <c r="C1269" s="17">
        <f t="shared" si="19"/>
        <v>45933</v>
      </c>
      <c r="D1269" s="17"/>
      <c r="J1269" s="2" t="s">
        <v>1457</v>
      </c>
    </row>
    <row r="1270" spans="1:10" x14ac:dyDescent="0.25">
      <c r="A1270" s="18" t="s">
        <v>855</v>
      </c>
      <c r="B1270">
        <v>0.5541560689096845</v>
      </c>
      <c r="C1270" s="17">
        <f t="shared" si="19"/>
        <v>45934</v>
      </c>
      <c r="D1270" s="17"/>
      <c r="J1270" s="2" t="s">
        <v>1458</v>
      </c>
    </row>
    <row r="1271" spans="1:10" x14ac:dyDescent="0.25">
      <c r="A1271" s="18" t="s">
        <v>1750</v>
      </c>
      <c r="B1271">
        <v>0.55434848092564104</v>
      </c>
      <c r="C1271" s="17">
        <f t="shared" si="19"/>
        <v>45935</v>
      </c>
      <c r="D1271" s="17"/>
      <c r="J1271" s="2" t="s">
        <v>1459</v>
      </c>
    </row>
    <row r="1272" spans="1:10" x14ac:dyDescent="0.25">
      <c r="A1272" s="18" t="s">
        <v>591</v>
      </c>
      <c r="B1272">
        <v>0.55479560822780738</v>
      </c>
      <c r="C1272" s="17">
        <f t="shared" si="19"/>
        <v>45936</v>
      </c>
      <c r="D1272" s="17"/>
      <c r="J1272" s="2" t="s">
        <v>1460</v>
      </c>
    </row>
    <row r="1273" spans="1:10" x14ac:dyDescent="0.25">
      <c r="A1273" s="18" t="s">
        <v>1451</v>
      </c>
      <c r="B1273">
        <v>0.55483188685501639</v>
      </c>
      <c r="C1273" s="17">
        <f t="shared" si="19"/>
        <v>45937</v>
      </c>
      <c r="D1273" s="17"/>
      <c r="J1273" s="2" t="s">
        <v>1461</v>
      </c>
    </row>
    <row r="1274" spans="1:10" x14ac:dyDescent="0.25">
      <c r="A1274" s="18" t="s">
        <v>1623</v>
      </c>
      <c r="B1274">
        <v>0.55570367508807605</v>
      </c>
      <c r="C1274" s="17">
        <f t="shared" si="19"/>
        <v>45938</v>
      </c>
      <c r="D1274" s="17"/>
      <c r="J1274" s="2" t="s">
        <v>1462</v>
      </c>
    </row>
    <row r="1275" spans="1:10" x14ac:dyDescent="0.25">
      <c r="A1275" s="18" t="s">
        <v>1723</v>
      </c>
      <c r="B1275">
        <v>0.55596424575896453</v>
      </c>
      <c r="C1275" s="17">
        <f t="shared" si="19"/>
        <v>45939</v>
      </c>
      <c r="D1275" s="17"/>
      <c r="J1275" s="2" t="s">
        <v>1463</v>
      </c>
    </row>
    <row r="1276" spans="1:10" x14ac:dyDescent="0.25">
      <c r="A1276" s="18" t="s">
        <v>294</v>
      </c>
      <c r="B1276">
        <v>0.55626515183915837</v>
      </c>
      <c r="C1276" s="17">
        <f t="shared" si="19"/>
        <v>45940</v>
      </c>
      <c r="D1276" s="17"/>
      <c r="J1276" s="2" t="s">
        <v>1464</v>
      </c>
    </row>
    <row r="1277" spans="1:10" x14ac:dyDescent="0.25">
      <c r="A1277" s="18" t="s">
        <v>1173</v>
      </c>
      <c r="B1277">
        <v>0.55627803420505995</v>
      </c>
      <c r="C1277" s="17">
        <f t="shared" si="19"/>
        <v>45941</v>
      </c>
      <c r="D1277" s="17"/>
      <c r="J1277" s="2" t="s">
        <v>1465</v>
      </c>
    </row>
    <row r="1278" spans="1:10" x14ac:dyDescent="0.25">
      <c r="A1278" s="18" t="s">
        <v>1031</v>
      </c>
      <c r="B1278">
        <v>0.55691326533929142</v>
      </c>
      <c r="C1278" s="17">
        <f t="shared" si="19"/>
        <v>45942</v>
      </c>
      <c r="D1278" s="17"/>
      <c r="J1278" s="2" t="s">
        <v>1466</v>
      </c>
    </row>
    <row r="1279" spans="1:10" x14ac:dyDescent="0.25">
      <c r="A1279" s="18" t="s">
        <v>1483</v>
      </c>
      <c r="B1279">
        <v>0.55694823677934413</v>
      </c>
      <c r="C1279" s="17">
        <f t="shared" si="19"/>
        <v>45943</v>
      </c>
      <c r="D1279" s="17"/>
      <c r="J1279" s="2" t="s">
        <v>1467</v>
      </c>
    </row>
    <row r="1280" spans="1:10" x14ac:dyDescent="0.25">
      <c r="A1280" s="18" t="s">
        <v>908</v>
      </c>
      <c r="B1280">
        <v>0.55716862615666463</v>
      </c>
      <c r="C1280" s="17">
        <f t="shared" si="19"/>
        <v>45944</v>
      </c>
      <c r="D1280" s="17"/>
      <c r="J1280" s="2" t="s">
        <v>210</v>
      </c>
    </row>
    <row r="1281" spans="1:10" x14ac:dyDescent="0.25">
      <c r="A1281" s="18" t="s">
        <v>1850</v>
      </c>
      <c r="B1281">
        <v>0.55730677387471994</v>
      </c>
      <c r="C1281" s="17">
        <f t="shared" si="19"/>
        <v>45945</v>
      </c>
      <c r="D1281" s="17"/>
      <c r="J1281" s="2" t="s">
        <v>1468</v>
      </c>
    </row>
    <row r="1282" spans="1:10" x14ac:dyDescent="0.25">
      <c r="A1282" s="18" t="s">
        <v>867</v>
      </c>
      <c r="B1282">
        <v>0.55772374467588559</v>
      </c>
      <c r="C1282" s="17">
        <f t="shared" si="19"/>
        <v>45946</v>
      </c>
      <c r="D1282" s="17"/>
      <c r="J1282" s="2" t="s">
        <v>1469</v>
      </c>
    </row>
    <row r="1283" spans="1:10" x14ac:dyDescent="0.25">
      <c r="A1283" s="18" t="s">
        <v>509</v>
      </c>
      <c r="B1283">
        <v>0.55772497595615056</v>
      </c>
      <c r="C1283" s="17">
        <f t="shared" si="19"/>
        <v>45947</v>
      </c>
      <c r="D1283" s="17"/>
      <c r="J1283" s="2" t="s">
        <v>1470</v>
      </c>
    </row>
    <row r="1284" spans="1:10" x14ac:dyDescent="0.25">
      <c r="A1284" s="18" t="s">
        <v>931</v>
      </c>
      <c r="B1284">
        <v>0.55795315407411072</v>
      </c>
      <c r="C1284" s="17">
        <f t="shared" ref="C1284:C1347" si="20">C1283+1</f>
        <v>45948</v>
      </c>
      <c r="D1284" s="17"/>
      <c r="J1284" s="2" t="s">
        <v>1471</v>
      </c>
    </row>
    <row r="1285" spans="1:10" x14ac:dyDescent="0.25">
      <c r="A1285" s="18" t="s">
        <v>1921</v>
      </c>
      <c r="B1285">
        <v>0.558115138685087</v>
      </c>
      <c r="C1285" s="17">
        <f t="shared" si="20"/>
        <v>45949</v>
      </c>
      <c r="D1285" s="17"/>
      <c r="J1285" s="2" t="s">
        <v>1472</v>
      </c>
    </row>
    <row r="1286" spans="1:10" x14ac:dyDescent="0.25">
      <c r="A1286" s="18" t="s">
        <v>24</v>
      </c>
      <c r="B1286">
        <v>0.55845262523315975</v>
      </c>
      <c r="C1286" s="17">
        <f t="shared" si="20"/>
        <v>45950</v>
      </c>
      <c r="D1286" s="17"/>
      <c r="J1286" s="2" t="s">
        <v>1473</v>
      </c>
    </row>
    <row r="1287" spans="1:10" x14ac:dyDescent="0.25">
      <c r="A1287" s="18" t="s">
        <v>2157</v>
      </c>
      <c r="B1287">
        <v>0.55916957989891758</v>
      </c>
      <c r="C1287" s="17">
        <f t="shared" si="20"/>
        <v>45951</v>
      </c>
      <c r="D1287" s="17"/>
      <c r="J1287" s="2" t="s">
        <v>211</v>
      </c>
    </row>
    <row r="1288" spans="1:10" x14ac:dyDescent="0.25">
      <c r="A1288" s="18" t="s">
        <v>562</v>
      </c>
      <c r="B1288">
        <v>0.55940362611158634</v>
      </c>
      <c r="C1288" s="17">
        <f t="shared" si="20"/>
        <v>45952</v>
      </c>
      <c r="D1288" s="17"/>
      <c r="J1288" s="2" t="s">
        <v>1474</v>
      </c>
    </row>
    <row r="1289" spans="1:10" x14ac:dyDescent="0.25">
      <c r="A1289" s="18" t="s">
        <v>902</v>
      </c>
      <c r="B1289">
        <v>0.56014227508457448</v>
      </c>
      <c r="C1289" s="17">
        <f t="shared" si="20"/>
        <v>45953</v>
      </c>
      <c r="D1289" s="17"/>
      <c r="J1289" s="2" t="s">
        <v>1475</v>
      </c>
    </row>
    <row r="1290" spans="1:10" x14ac:dyDescent="0.25">
      <c r="A1290" s="18" t="s">
        <v>1336</v>
      </c>
      <c r="B1290">
        <v>0.56020599642725377</v>
      </c>
      <c r="C1290" s="17">
        <f t="shared" si="20"/>
        <v>45954</v>
      </c>
      <c r="D1290" s="17"/>
      <c r="J1290" s="2" t="s">
        <v>67</v>
      </c>
    </row>
    <row r="1291" spans="1:10" x14ac:dyDescent="0.25">
      <c r="A1291" s="18" t="s">
        <v>833</v>
      </c>
      <c r="B1291">
        <v>0.56047727645927159</v>
      </c>
      <c r="C1291" s="17">
        <f t="shared" si="20"/>
        <v>45955</v>
      </c>
      <c r="D1291" s="17"/>
      <c r="J1291" s="2" t="s">
        <v>1476</v>
      </c>
    </row>
    <row r="1292" spans="1:10" x14ac:dyDescent="0.25">
      <c r="A1292" s="18" t="s">
        <v>818</v>
      </c>
      <c r="B1292">
        <v>0.56086823674990627</v>
      </c>
      <c r="C1292" s="17">
        <f t="shared" si="20"/>
        <v>45956</v>
      </c>
      <c r="D1292" s="17"/>
      <c r="J1292" s="2" t="s">
        <v>1477</v>
      </c>
    </row>
    <row r="1293" spans="1:10" x14ac:dyDescent="0.25">
      <c r="A1293" s="18" t="s">
        <v>708</v>
      </c>
      <c r="B1293">
        <v>0.56089609639639482</v>
      </c>
      <c r="C1293" s="17">
        <f t="shared" si="20"/>
        <v>45957</v>
      </c>
      <c r="D1293" s="17"/>
      <c r="J1293" s="2" t="s">
        <v>1478</v>
      </c>
    </row>
    <row r="1294" spans="1:10" x14ac:dyDescent="0.25">
      <c r="A1294" s="18" t="s">
        <v>599</v>
      </c>
      <c r="B1294">
        <v>0.56211409357465381</v>
      </c>
      <c r="C1294" s="17">
        <f t="shared" si="20"/>
        <v>45958</v>
      </c>
      <c r="D1294" s="17"/>
      <c r="J1294" s="2" t="s">
        <v>1479</v>
      </c>
    </row>
    <row r="1295" spans="1:10" x14ac:dyDescent="0.25">
      <c r="A1295" s="18" t="s">
        <v>729</v>
      </c>
      <c r="B1295">
        <v>0.56255941415630639</v>
      </c>
      <c r="C1295" s="17">
        <f t="shared" si="20"/>
        <v>45959</v>
      </c>
      <c r="D1295" s="17"/>
      <c r="J1295" s="2" t="s">
        <v>1480</v>
      </c>
    </row>
    <row r="1296" spans="1:10" x14ac:dyDescent="0.25">
      <c r="A1296" s="18" t="s">
        <v>500</v>
      </c>
      <c r="B1296">
        <v>0.56270937361523654</v>
      </c>
      <c r="C1296" s="17">
        <f t="shared" si="20"/>
        <v>45960</v>
      </c>
      <c r="D1296" s="17"/>
      <c r="J1296" s="2" t="s">
        <v>1481</v>
      </c>
    </row>
    <row r="1297" spans="1:10" x14ac:dyDescent="0.25">
      <c r="A1297" s="18" t="s">
        <v>416</v>
      </c>
      <c r="B1297">
        <v>0.56310569454500237</v>
      </c>
      <c r="C1297" s="17">
        <f t="shared" si="20"/>
        <v>45961</v>
      </c>
      <c r="D1297" s="17"/>
      <c r="J1297" s="2" t="s">
        <v>1482</v>
      </c>
    </row>
    <row r="1298" spans="1:10" x14ac:dyDescent="0.25">
      <c r="A1298" s="18" t="s">
        <v>1432</v>
      </c>
      <c r="B1298">
        <v>0.56315423182857383</v>
      </c>
      <c r="C1298" s="17">
        <f t="shared" si="20"/>
        <v>45962</v>
      </c>
      <c r="D1298" s="17"/>
      <c r="J1298" s="2" t="s">
        <v>1483</v>
      </c>
    </row>
    <row r="1299" spans="1:10" x14ac:dyDescent="0.25">
      <c r="A1299" s="18" t="s">
        <v>642</v>
      </c>
      <c r="B1299">
        <v>0.56386203377492938</v>
      </c>
      <c r="C1299" s="17">
        <f t="shared" si="20"/>
        <v>45963</v>
      </c>
      <c r="D1299" s="17"/>
      <c r="J1299" s="2" t="s">
        <v>1484</v>
      </c>
    </row>
    <row r="1300" spans="1:10" x14ac:dyDescent="0.25">
      <c r="A1300" s="18" t="s">
        <v>2199</v>
      </c>
      <c r="B1300">
        <v>0.56410124547988827</v>
      </c>
      <c r="C1300" s="17">
        <f t="shared" si="20"/>
        <v>45964</v>
      </c>
      <c r="D1300" s="17"/>
      <c r="J1300" s="2" t="s">
        <v>1485</v>
      </c>
    </row>
    <row r="1301" spans="1:10" x14ac:dyDescent="0.25">
      <c r="A1301" s="18" t="s">
        <v>1384</v>
      </c>
      <c r="B1301">
        <v>0.56424572374034232</v>
      </c>
      <c r="C1301" s="17">
        <f t="shared" si="20"/>
        <v>45965</v>
      </c>
      <c r="D1301" s="17"/>
      <c r="J1301" s="2" t="s">
        <v>1486</v>
      </c>
    </row>
    <row r="1302" spans="1:10" x14ac:dyDescent="0.25">
      <c r="A1302" s="18" t="s">
        <v>2037</v>
      </c>
      <c r="B1302">
        <v>0.56430416825739549</v>
      </c>
      <c r="C1302" s="17">
        <f t="shared" si="20"/>
        <v>45966</v>
      </c>
      <c r="D1302" s="17"/>
      <c r="J1302" s="2" t="s">
        <v>1487</v>
      </c>
    </row>
    <row r="1303" spans="1:10" x14ac:dyDescent="0.25">
      <c r="A1303" s="18" t="s">
        <v>660</v>
      </c>
      <c r="B1303">
        <v>0.56449286497124418</v>
      </c>
      <c r="C1303" s="17">
        <f t="shared" si="20"/>
        <v>45967</v>
      </c>
      <c r="D1303" s="17"/>
      <c r="J1303" s="2" t="s">
        <v>1488</v>
      </c>
    </row>
    <row r="1304" spans="1:10" x14ac:dyDescent="0.25">
      <c r="A1304" s="18" t="s">
        <v>1359</v>
      </c>
      <c r="B1304">
        <v>0.56491600612618287</v>
      </c>
      <c r="C1304" s="17">
        <f t="shared" si="20"/>
        <v>45968</v>
      </c>
      <c r="D1304" s="17"/>
      <c r="J1304" s="2" t="s">
        <v>1489</v>
      </c>
    </row>
    <row r="1305" spans="1:10" x14ac:dyDescent="0.25">
      <c r="A1305" s="18" t="s">
        <v>1676</v>
      </c>
      <c r="B1305">
        <v>0.56560171434240036</v>
      </c>
      <c r="C1305" s="17">
        <f t="shared" si="20"/>
        <v>45969</v>
      </c>
      <c r="D1305" s="17"/>
      <c r="J1305" s="2" t="s">
        <v>1490</v>
      </c>
    </row>
    <row r="1306" spans="1:10" x14ac:dyDescent="0.25">
      <c r="A1306" s="18" t="s">
        <v>699</v>
      </c>
      <c r="B1306">
        <v>0.56596595586369769</v>
      </c>
      <c r="C1306" s="17">
        <f t="shared" si="20"/>
        <v>45970</v>
      </c>
      <c r="D1306" s="17"/>
      <c r="J1306" s="2" t="s">
        <v>1491</v>
      </c>
    </row>
    <row r="1307" spans="1:10" x14ac:dyDescent="0.25">
      <c r="A1307" s="18" t="s">
        <v>930</v>
      </c>
      <c r="B1307">
        <v>0.5668070941930019</v>
      </c>
      <c r="C1307" s="17">
        <f t="shared" si="20"/>
        <v>45971</v>
      </c>
      <c r="D1307" s="17"/>
      <c r="J1307" s="2" t="s">
        <v>1492</v>
      </c>
    </row>
    <row r="1308" spans="1:10" x14ac:dyDescent="0.25">
      <c r="A1308" s="18" t="s">
        <v>353</v>
      </c>
      <c r="B1308">
        <v>0.56682680989567014</v>
      </c>
      <c r="C1308" s="17">
        <f t="shared" si="20"/>
        <v>45972</v>
      </c>
      <c r="D1308" s="17"/>
      <c r="J1308" s="2" t="s">
        <v>430</v>
      </c>
    </row>
    <row r="1309" spans="1:10" x14ac:dyDescent="0.25">
      <c r="A1309" s="18" t="s">
        <v>1323</v>
      </c>
      <c r="B1309">
        <v>0.56721844745762462</v>
      </c>
      <c r="C1309" s="17">
        <f t="shared" si="20"/>
        <v>45973</v>
      </c>
      <c r="D1309" s="17"/>
      <c r="J1309" s="2" t="s">
        <v>1493</v>
      </c>
    </row>
    <row r="1310" spans="1:10" x14ac:dyDescent="0.25">
      <c r="A1310" s="18" t="s">
        <v>1214</v>
      </c>
      <c r="B1310">
        <v>0.56724778625156158</v>
      </c>
      <c r="C1310" s="17">
        <f t="shared" si="20"/>
        <v>45974</v>
      </c>
      <c r="D1310" s="17"/>
      <c r="J1310" s="2" t="s">
        <v>1494</v>
      </c>
    </row>
    <row r="1311" spans="1:10" x14ac:dyDescent="0.25">
      <c r="A1311" s="18" t="s">
        <v>1338</v>
      </c>
      <c r="B1311">
        <v>0.56764537709535212</v>
      </c>
      <c r="C1311" s="17">
        <f t="shared" si="20"/>
        <v>45975</v>
      </c>
      <c r="D1311" s="17"/>
      <c r="J1311" s="2" t="s">
        <v>434</v>
      </c>
    </row>
    <row r="1312" spans="1:10" x14ac:dyDescent="0.25">
      <c r="A1312" s="18" t="s">
        <v>198</v>
      </c>
      <c r="B1312">
        <v>0.56773795932484017</v>
      </c>
      <c r="C1312" s="17">
        <f t="shared" si="20"/>
        <v>45976</v>
      </c>
      <c r="D1312" s="17"/>
      <c r="J1312" s="2" t="s">
        <v>1495</v>
      </c>
    </row>
    <row r="1313" spans="1:10" x14ac:dyDescent="0.25">
      <c r="A1313" s="18" t="s">
        <v>1167</v>
      </c>
      <c r="B1313">
        <v>0.56834287752521329</v>
      </c>
      <c r="C1313" s="17">
        <f t="shared" si="20"/>
        <v>45977</v>
      </c>
      <c r="D1313" s="17"/>
      <c r="J1313" s="2" t="s">
        <v>1496</v>
      </c>
    </row>
    <row r="1314" spans="1:10" x14ac:dyDescent="0.25">
      <c r="A1314" s="18" t="s">
        <v>63</v>
      </c>
      <c r="B1314">
        <v>0.56895774595890847</v>
      </c>
      <c r="C1314" s="17">
        <f t="shared" si="20"/>
        <v>45978</v>
      </c>
      <c r="D1314" s="17"/>
      <c r="J1314" s="2" t="s">
        <v>1497</v>
      </c>
    </row>
    <row r="1315" spans="1:10" x14ac:dyDescent="0.25">
      <c r="A1315" s="18" t="s">
        <v>1233</v>
      </c>
      <c r="B1315">
        <v>0.57005668745882598</v>
      </c>
      <c r="C1315" s="17">
        <f t="shared" si="20"/>
        <v>45979</v>
      </c>
      <c r="D1315" s="17"/>
      <c r="J1315" s="2" t="s">
        <v>1498</v>
      </c>
    </row>
    <row r="1316" spans="1:10" x14ac:dyDescent="0.25">
      <c r="A1316" s="18" t="s">
        <v>594</v>
      </c>
      <c r="B1316">
        <v>0.5701255101889684</v>
      </c>
      <c r="C1316" s="17">
        <f t="shared" si="20"/>
        <v>45980</v>
      </c>
      <c r="D1316" s="17"/>
      <c r="J1316" s="2" t="s">
        <v>1499</v>
      </c>
    </row>
    <row r="1317" spans="1:10" x14ac:dyDescent="0.25">
      <c r="A1317" s="18" t="s">
        <v>1463</v>
      </c>
      <c r="B1317">
        <v>0.57069606311566323</v>
      </c>
      <c r="C1317" s="17">
        <f t="shared" si="20"/>
        <v>45981</v>
      </c>
      <c r="D1317" s="17"/>
      <c r="J1317" s="2" t="s">
        <v>112</v>
      </c>
    </row>
    <row r="1318" spans="1:10" x14ac:dyDescent="0.25">
      <c r="A1318" s="18" t="s">
        <v>1504</v>
      </c>
      <c r="B1318">
        <v>0.57092217064672324</v>
      </c>
      <c r="C1318" s="17">
        <f t="shared" si="20"/>
        <v>45982</v>
      </c>
      <c r="D1318" s="17"/>
      <c r="J1318" s="2" t="s">
        <v>1500</v>
      </c>
    </row>
    <row r="1319" spans="1:10" x14ac:dyDescent="0.25">
      <c r="A1319" s="18" t="s">
        <v>1925</v>
      </c>
      <c r="B1319">
        <v>0.5716058056103942</v>
      </c>
      <c r="C1319" s="17">
        <f t="shared" si="20"/>
        <v>45983</v>
      </c>
      <c r="D1319" s="17"/>
      <c r="J1319" s="2" t="s">
        <v>1501</v>
      </c>
    </row>
    <row r="1320" spans="1:10" x14ac:dyDescent="0.25">
      <c r="A1320" s="18" t="s">
        <v>1244</v>
      </c>
      <c r="B1320">
        <v>0.57251922945380651</v>
      </c>
      <c r="C1320" s="17">
        <f t="shared" si="20"/>
        <v>45984</v>
      </c>
      <c r="D1320" s="17"/>
      <c r="J1320" s="2" t="s">
        <v>1502</v>
      </c>
    </row>
    <row r="1321" spans="1:10" x14ac:dyDescent="0.25">
      <c r="A1321" s="18" t="s">
        <v>2200</v>
      </c>
      <c r="B1321">
        <v>0.57254734367206628</v>
      </c>
      <c r="C1321" s="17">
        <f t="shared" si="20"/>
        <v>45985</v>
      </c>
      <c r="D1321" s="17"/>
      <c r="J1321" s="2" t="s">
        <v>1503</v>
      </c>
    </row>
    <row r="1322" spans="1:10" x14ac:dyDescent="0.25">
      <c r="A1322" s="18" t="s">
        <v>508</v>
      </c>
      <c r="B1322">
        <v>0.57264067715103406</v>
      </c>
      <c r="C1322" s="17">
        <f t="shared" si="20"/>
        <v>45986</v>
      </c>
      <c r="D1322" s="17"/>
      <c r="J1322" s="2" t="s">
        <v>1504</v>
      </c>
    </row>
    <row r="1323" spans="1:10" x14ac:dyDescent="0.25">
      <c r="A1323" s="18" t="s">
        <v>1357</v>
      </c>
      <c r="B1323">
        <v>0.57419522256774624</v>
      </c>
      <c r="C1323" s="17">
        <f t="shared" si="20"/>
        <v>45987</v>
      </c>
      <c r="D1323" s="17"/>
      <c r="J1323" s="2" t="s">
        <v>1505</v>
      </c>
    </row>
    <row r="1324" spans="1:10" x14ac:dyDescent="0.25">
      <c r="A1324" s="18" t="s">
        <v>613</v>
      </c>
      <c r="B1324">
        <v>0.57420758161060537</v>
      </c>
      <c r="C1324" s="17">
        <f t="shared" si="20"/>
        <v>45988</v>
      </c>
      <c r="D1324" s="17"/>
      <c r="J1324" s="2" t="s">
        <v>1506</v>
      </c>
    </row>
    <row r="1325" spans="1:10" x14ac:dyDescent="0.25">
      <c r="A1325" s="18" t="s">
        <v>631</v>
      </c>
      <c r="B1325">
        <v>0.57434121707998376</v>
      </c>
      <c r="C1325" s="17">
        <f t="shared" si="20"/>
        <v>45989</v>
      </c>
      <c r="D1325" s="17"/>
      <c r="J1325" s="2" t="s">
        <v>1507</v>
      </c>
    </row>
    <row r="1326" spans="1:10" x14ac:dyDescent="0.25">
      <c r="A1326" s="18" t="s">
        <v>1286</v>
      </c>
      <c r="B1326">
        <v>0.57437309586929985</v>
      </c>
      <c r="C1326" s="17">
        <f t="shared" si="20"/>
        <v>45990</v>
      </c>
      <c r="D1326" s="17"/>
      <c r="J1326" s="2" t="s">
        <v>1508</v>
      </c>
    </row>
    <row r="1327" spans="1:10" x14ac:dyDescent="0.25">
      <c r="A1327" s="18" t="s">
        <v>251</v>
      </c>
      <c r="B1327">
        <v>0.57486614555891424</v>
      </c>
      <c r="C1327" s="17">
        <f t="shared" si="20"/>
        <v>45991</v>
      </c>
      <c r="D1327" s="17"/>
      <c r="J1327" s="2" t="s">
        <v>1509</v>
      </c>
    </row>
    <row r="1328" spans="1:10" x14ac:dyDescent="0.25">
      <c r="A1328" s="18" t="s">
        <v>669</v>
      </c>
      <c r="B1328">
        <v>0.57495537303137123</v>
      </c>
      <c r="C1328" s="17">
        <f t="shared" si="20"/>
        <v>45992</v>
      </c>
      <c r="D1328" s="17"/>
      <c r="J1328" s="2" t="s">
        <v>1510</v>
      </c>
    </row>
    <row r="1329" spans="1:10" x14ac:dyDescent="0.25">
      <c r="A1329" s="18" t="s">
        <v>108</v>
      </c>
      <c r="B1329">
        <v>0.5761377393458994</v>
      </c>
      <c r="C1329" s="17">
        <f t="shared" si="20"/>
        <v>45993</v>
      </c>
      <c r="D1329" s="17"/>
      <c r="J1329" s="2" t="s">
        <v>1511</v>
      </c>
    </row>
    <row r="1330" spans="1:10" x14ac:dyDescent="0.25">
      <c r="A1330" s="18" t="s">
        <v>1671</v>
      </c>
      <c r="B1330">
        <v>0.57673879103148562</v>
      </c>
      <c r="C1330" s="17">
        <f t="shared" si="20"/>
        <v>45994</v>
      </c>
      <c r="D1330" s="17"/>
      <c r="J1330" s="2" t="s">
        <v>1512</v>
      </c>
    </row>
    <row r="1331" spans="1:10" x14ac:dyDescent="0.25">
      <c r="A1331" s="18" t="s">
        <v>344</v>
      </c>
      <c r="B1331">
        <v>0.57725283313727938</v>
      </c>
      <c r="C1331" s="17">
        <f t="shared" si="20"/>
        <v>45995</v>
      </c>
      <c r="D1331" s="17"/>
      <c r="J1331" s="2" t="s">
        <v>1513</v>
      </c>
    </row>
    <row r="1332" spans="1:10" x14ac:dyDescent="0.25">
      <c r="A1332" s="18" t="s">
        <v>1454</v>
      </c>
      <c r="B1332">
        <v>0.57765534395979978</v>
      </c>
      <c r="C1332" s="17">
        <f t="shared" si="20"/>
        <v>45996</v>
      </c>
      <c r="D1332" s="17"/>
      <c r="J1332" s="2" t="s">
        <v>379</v>
      </c>
    </row>
    <row r="1333" spans="1:10" x14ac:dyDescent="0.25">
      <c r="A1333" s="18" t="s">
        <v>1970</v>
      </c>
      <c r="B1333">
        <v>0.57994329787117993</v>
      </c>
      <c r="C1333" s="17">
        <f t="shared" si="20"/>
        <v>45997</v>
      </c>
      <c r="D1333" s="17"/>
      <c r="J1333" s="2" t="s">
        <v>1514</v>
      </c>
    </row>
    <row r="1334" spans="1:10" x14ac:dyDescent="0.25">
      <c r="A1334" s="18" t="s">
        <v>1943</v>
      </c>
      <c r="B1334">
        <v>0.58039615255827115</v>
      </c>
      <c r="C1334" s="17">
        <f t="shared" si="20"/>
        <v>45998</v>
      </c>
      <c r="D1334" s="17"/>
      <c r="J1334" s="2" t="s">
        <v>1515</v>
      </c>
    </row>
    <row r="1335" spans="1:10" x14ac:dyDescent="0.25">
      <c r="A1335" s="18" t="s">
        <v>205</v>
      </c>
      <c r="B1335">
        <v>0.58048497819790146</v>
      </c>
      <c r="C1335" s="17">
        <f t="shared" si="20"/>
        <v>45999</v>
      </c>
      <c r="D1335" s="17"/>
      <c r="J1335" s="2" t="s">
        <v>1516</v>
      </c>
    </row>
    <row r="1336" spans="1:10" x14ac:dyDescent="0.25">
      <c r="A1336" s="18" t="s">
        <v>2111</v>
      </c>
      <c r="B1336">
        <v>0.58048552224934657</v>
      </c>
      <c r="C1336" s="17">
        <f t="shared" si="20"/>
        <v>46000</v>
      </c>
      <c r="D1336" s="17"/>
      <c r="J1336" s="2" t="s">
        <v>1517</v>
      </c>
    </row>
    <row r="1337" spans="1:10" x14ac:dyDescent="0.25">
      <c r="A1337" s="18" t="s">
        <v>1146</v>
      </c>
      <c r="B1337">
        <v>0.58067559520283751</v>
      </c>
      <c r="C1337" s="17">
        <f t="shared" si="20"/>
        <v>46001</v>
      </c>
      <c r="D1337" s="17"/>
      <c r="J1337" s="2" t="s">
        <v>295</v>
      </c>
    </row>
    <row r="1338" spans="1:10" x14ac:dyDescent="0.25">
      <c r="A1338" s="18" t="s">
        <v>117</v>
      </c>
      <c r="B1338">
        <v>0.58079517785087875</v>
      </c>
      <c r="C1338" s="17">
        <f t="shared" si="20"/>
        <v>46002</v>
      </c>
      <c r="D1338" s="17"/>
      <c r="J1338" s="2" t="s">
        <v>1518</v>
      </c>
    </row>
    <row r="1339" spans="1:10" x14ac:dyDescent="0.25">
      <c r="A1339" s="18" t="s">
        <v>1495</v>
      </c>
      <c r="B1339">
        <v>0.58085098360516529</v>
      </c>
      <c r="C1339" s="17">
        <f t="shared" si="20"/>
        <v>46003</v>
      </c>
      <c r="D1339" s="17"/>
      <c r="J1339" s="2" t="s">
        <v>1519</v>
      </c>
    </row>
    <row r="1340" spans="1:10" x14ac:dyDescent="0.25">
      <c r="A1340" s="18" t="s">
        <v>228</v>
      </c>
      <c r="B1340">
        <v>0.58100848806866945</v>
      </c>
      <c r="C1340" s="17">
        <f t="shared" si="20"/>
        <v>46004</v>
      </c>
      <c r="D1340" s="17"/>
      <c r="J1340" s="2" t="s">
        <v>1520</v>
      </c>
    </row>
    <row r="1341" spans="1:10" x14ac:dyDescent="0.25">
      <c r="A1341" s="18" t="s">
        <v>2058</v>
      </c>
      <c r="B1341">
        <v>0.5812949827181989</v>
      </c>
      <c r="C1341" s="17">
        <f t="shared" si="20"/>
        <v>46005</v>
      </c>
      <c r="D1341" s="17"/>
      <c r="J1341" s="2" t="s">
        <v>1521</v>
      </c>
    </row>
    <row r="1342" spans="1:10" x14ac:dyDescent="0.25">
      <c r="A1342" s="18" t="s">
        <v>1453</v>
      </c>
      <c r="B1342">
        <v>0.58157023136378572</v>
      </c>
      <c r="C1342" s="17">
        <f t="shared" si="20"/>
        <v>46006</v>
      </c>
      <c r="D1342" s="17"/>
      <c r="J1342" s="2" t="s">
        <v>1522</v>
      </c>
    </row>
    <row r="1343" spans="1:10" x14ac:dyDescent="0.25">
      <c r="A1343" s="18" t="s">
        <v>1960</v>
      </c>
      <c r="B1343">
        <v>0.58184849592673993</v>
      </c>
      <c r="C1343" s="17">
        <f t="shared" si="20"/>
        <v>46007</v>
      </c>
      <c r="D1343" s="17"/>
      <c r="J1343" s="2" t="s">
        <v>1523</v>
      </c>
    </row>
    <row r="1344" spans="1:10" x14ac:dyDescent="0.25">
      <c r="A1344" s="18" t="s">
        <v>1181</v>
      </c>
      <c r="B1344">
        <v>0.58200287477656409</v>
      </c>
      <c r="C1344" s="17">
        <f t="shared" si="20"/>
        <v>46008</v>
      </c>
      <c r="D1344" s="17"/>
      <c r="J1344" s="2" t="s">
        <v>72</v>
      </c>
    </row>
    <row r="1345" spans="1:10" x14ac:dyDescent="0.25">
      <c r="A1345" s="18" t="s">
        <v>1920</v>
      </c>
      <c r="B1345">
        <v>0.58209791658588816</v>
      </c>
      <c r="C1345" s="17">
        <f t="shared" si="20"/>
        <v>46009</v>
      </c>
      <c r="D1345" s="17"/>
      <c r="J1345" s="2" t="s">
        <v>1524</v>
      </c>
    </row>
    <row r="1346" spans="1:10" x14ac:dyDescent="0.25">
      <c r="A1346" s="18" t="s">
        <v>1348</v>
      </c>
      <c r="B1346">
        <v>0.58220128627581247</v>
      </c>
      <c r="C1346" s="17">
        <f t="shared" si="20"/>
        <v>46010</v>
      </c>
      <c r="D1346" s="17"/>
      <c r="J1346" s="2" t="s">
        <v>1525</v>
      </c>
    </row>
    <row r="1347" spans="1:10" x14ac:dyDescent="0.25">
      <c r="A1347" s="18" t="s">
        <v>166</v>
      </c>
      <c r="B1347">
        <v>0.58239110869634159</v>
      </c>
      <c r="C1347" s="17">
        <f t="shared" si="20"/>
        <v>46011</v>
      </c>
      <c r="D1347" s="17"/>
      <c r="J1347" s="2" t="s">
        <v>1526</v>
      </c>
    </row>
    <row r="1348" spans="1:10" x14ac:dyDescent="0.25">
      <c r="A1348" s="18" t="s">
        <v>1550</v>
      </c>
      <c r="B1348">
        <v>0.58326644893058499</v>
      </c>
      <c r="C1348" s="17">
        <f t="shared" ref="C1348:C1411" si="21">C1347+1</f>
        <v>46012</v>
      </c>
      <c r="D1348" s="17"/>
      <c r="J1348" s="2" t="s">
        <v>1527</v>
      </c>
    </row>
    <row r="1349" spans="1:10" x14ac:dyDescent="0.25">
      <c r="A1349" s="18" t="s">
        <v>1229</v>
      </c>
      <c r="B1349">
        <v>0.58353227035009558</v>
      </c>
      <c r="C1349" s="17">
        <f t="shared" si="21"/>
        <v>46013</v>
      </c>
      <c r="D1349" s="17"/>
      <c r="J1349" s="2" t="s">
        <v>1528</v>
      </c>
    </row>
    <row r="1350" spans="1:10" x14ac:dyDescent="0.25">
      <c r="A1350" s="18" t="s">
        <v>2093</v>
      </c>
      <c r="B1350">
        <v>0.58367933708842012</v>
      </c>
      <c r="C1350" s="17">
        <f t="shared" si="21"/>
        <v>46014</v>
      </c>
      <c r="D1350" s="17"/>
      <c r="J1350" s="2" t="s">
        <v>1529</v>
      </c>
    </row>
    <row r="1351" spans="1:10" x14ac:dyDescent="0.25">
      <c r="A1351" s="18" t="s">
        <v>1683</v>
      </c>
      <c r="B1351">
        <v>0.58523777787855324</v>
      </c>
      <c r="C1351" s="17">
        <f t="shared" si="21"/>
        <v>46015</v>
      </c>
      <c r="D1351" s="17"/>
      <c r="J1351" s="2" t="s">
        <v>338</v>
      </c>
    </row>
    <row r="1352" spans="1:10" x14ac:dyDescent="0.25">
      <c r="A1352" s="18" t="s">
        <v>1866</v>
      </c>
      <c r="B1352">
        <v>0.58535525168622804</v>
      </c>
      <c r="C1352" s="17">
        <f t="shared" si="21"/>
        <v>46016</v>
      </c>
      <c r="D1352" s="17"/>
      <c r="J1352" s="2" t="s">
        <v>1530</v>
      </c>
    </row>
    <row r="1353" spans="1:10" x14ac:dyDescent="0.25">
      <c r="A1353" s="18" t="s">
        <v>1507</v>
      </c>
      <c r="B1353">
        <v>0.58541269140963981</v>
      </c>
      <c r="C1353" s="17">
        <f t="shared" si="21"/>
        <v>46017</v>
      </c>
      <c r="D1353" s="17"/>
      <c r="J1353" s="2" t="s">
        <v>1531</v>
      </c>
    </row>
    <row r="1354" spans="1:10" x14ac:dyDescent="0.25">
      <c r="A1354" s="18" t="s">
        <v>1333</v>
      </c>
      <c r="B1354">
        <v>0.58556637967651282</v>
      </c>
      <c r="C1354" s="17">
        <f t="shared" si="21"/>
        <v>46018</v>
      </c>
      <c r="D1354" s="17"/>
      <c r="J1354" s="2" t="s">
        <v>1532</v>
      </c>
    </row>
    <row r="1355" spans="1:10" x14ac:dyDescent="0.25">
      <c r="A1355" s="18" t="s">
        <v>459</v>
      </c>
      <c r="B1355">
        <v>0.58632625943629113</v>
      </c>
      <c r="C1355" s="17">
        <f t="shared" si="21"/>
        <v>46019</v>
      </c>
      <c r="D1355" s="17"/>
      <c r="J1355" s="2" t="s">
        <v>55</v>
      </c>
    </row>
    <row r="1356" spans="1:10" x14ac:dyDescent="0.25">
      <c r="A1356" s="18" t="s">
        <v>1675</v>
      </c>
      <c r="B1356">
        <v>0.58776095458381061</v>
      </c>
      <c r="C1356" s="17">
        <f t="shared" si="21"/>
        <v>46020</v>
      </c>
      <c r="D1356" s="17"/>
      <c r="J1356" s="2" t="s">
        <v>246</v>
      </c>
    </row>
    <row r="1357" spans="1:10" x14ac:dyDescent="0.25">
      <c r="A1357" s="18" t="s">
        <v>2242</v>
      </c>
      <c r="B1357">
        <v>0.58834206179489401</v>
      </c>
      <c r="C1357" s="17">
        <f t="shared" si="21"/>
        <v>46021</v>
      </c>
      <c r="D1357" s="17"/>
      <c r="J1357" s="2" t="s">
        <v>1533</v>
      </c>
    </row>
    <row r="1358" spans="1:10" x14ac:dyDescent="0.25">
      <c r="A1358" s="18" t="s">
        <v>673</v>
      </c>
      <c r="B1358">
        <v>0.58912177862997062</v>
      </c>
      <c r="C1358" s="17">
        <f t="shared" si="21"/>
        <v>46022</v>
      </c>
      <c r="D1358" s="17"/>
      <c r="J1358" s="2" t="s">
        <v>241</v>
      </c>
    </row>
    <row r="1359" spans="1:10" x14ac:dyDescent="0.25">
      <c r="A1359" s="18" t="s">
        <v>1410</v>
      </c>
      <c r="B1359">
        <v>0.5905807925984442</v>
      </c>
      <c r="C1359" s="17">
        <f t="shared" si="21"/>
        <v>46023</v>
      </c>
      <c r="D1359" s="17"/>
      <c r="J1359" s="2" t="s">
        <v>1534</v>
      </c>
    </row>
    <row r="1360" spans="1:10" x14ac:dyDescent="0.25">
      <c r="A1360" s="18" t="s">
        <v>19</v>
      </c>
      <c r="B1360">
        <v>0.5906429535154033</v>
      </c>
      <c r="C1360" s="17">
        <f t="shared" si="21"/>
        <v>46024</v>
      </c>
      <c r="D1360" s="17"/>
      <c r="J1360" s="2" t="s">
        <v>1535</v>
      </c>
    </row>
    <row r="1361" spans="1:10" x14ac:dyDescent="0.25">
      <c r="A1361" s="18" t="s">
        <v>668</v>
      </c>
      <c r="B1361">
        <v>0.59281085452279314</v>
      </c>
      <c r="C1361" s="17">
        <f t="shared" si="21"/>
        <v>46025</v>
      </c>
      <c r="D1361" s="17"/>
      <c r="J1361" s="2" t="s">
        <v>1536</v>
      </c>
    </row>
    <row r="1362" spans="1:10" x14ac:dyDescent="0.25">
      <c r="A1362" s="18" t="s">
        <v>2175</v>
      </c>
      <c r="B1362">
        <v>0.59305108821564945</v>
      </c>
      <c r="C1362" s="17">
        <f t="shared" si="21"/>
        <v>46026</v>
      </c>
      <c r="D1362" s="17"/>
      <c r="J1362" s="2" t="s">
        <v>230</v>
      </c>
    </row>
    <row r="1363" spans="1:10" x14ac:dyDescent="0.25">
      <c r="A1363" s="18" t="s">
        <v>554</v>
      </c>
      <c r="B1363">
        <v>0.59362619963000918</v>
      </c>
      <c r="C1363" s="17">
        <f t="shared" si="21"/>
        <v>46027</v>
      </c>
      <c r="D1363" s="17"/>
      <c r="J1363" s="2" t="s">
        <v>1537</v>
      </c>
    </row>
    <row r="1364" spans="1:10" x14ac:dyDescent="0.25">
      <c r="A1364" s="18" t="s">
        <v>2167</v>
      </c>
      <c r="B1364">
        <v>0.59436101205038294</v>
      </c>
      <c r="C1364" s="17">
        <f t="shared" si="21"/>
        <v>46028</v>
      </c>
      <c r="D1364" s="17"/>
      <c r="J1364" s="2" t="s">
        <v>1538</v>
      </c>
    </row>
    <row r="1365" spans="1:10" x14ac:dyDescent="0.25">
      <c r="A1365" s="18" t="s">
        <v>1136</v>
      </c>
      <c r="B1365">
        <v>0.59451802743428162</v>
      </c>
      <c r="C1365" s="17">
        <f t="shared" si="21"/>
        <v>46029</v>
      </c>
      <c r="D1365" s="17"/>
      <c r="J1365" s="2" t="s">
        <v>82</v>
      </c>
    </row>
    <row r="1366" spans="1:10" x14ac:dyDescent="0.25">
      <c r="A1366" s="18" t="s">
        <v>1890</v>
      </c>
      <c r="B1366">
        <v>0.59474495013288664</v>
      </c>
      <c r="C1366" s="17">
        <f t="shared" si="21"/>
        <v>46030</v>
      </c>
      <c r="D1366" s="17"/>
      <c r="J1366" s="2" t="s">
        <v>1539</v>
      </c>
    </row>
    <row r="1367" spans="1:10" x14ac:dyDescent="0.25">
      <c r="A1367" s="18" t="s">
        <v>526</v>
      </c>
      <c r="B1367">
        <v>0.59536070019050191</v>
      </c>
      <c r="C1367" s="17">
        <f t="shared" si="21"/>
        <v>46031</v>
      </c>
      <c r="D1367" s="17"/>
      <c r="J1367" s="2" t="s">
        <v>1540</v>
      </c>
    </row>
    <row r="1368" spans="1:10" x14ac:dyDescent="0.25">
      <c r="A1368" s="18" t="s">
        <v>711</v>
      </c>
      <c r="B1368">
        <v>0.59611479524887845</v>
      </c>
      <c r="C1368" s="17">
        <f t="shared" si="21"/>
        <v>46032</v>
      </c>
      <c r="D1368" s="17"/>
      <c r="J1368" s="2" t="s">
        <v>1541</v>
      </c>
    </row>
    <row r="1369" spans="1:10" x14ac:dyDescent="0.25">
      <c r="A1369" s="18" t="s">
        <v>11</v>
      </c>
      <c r="B1369">
        <v>0.59639422782676377</v>
      </c>
      <c r="C1369" s="17">
        <f t="shared" si="21"/>
        <v>46033</v>
      </c>
      <c r="D1369" s="17"/>
      <c r="J1369" s="2" t="s">
        <v>1542</v>
      </c>
    </row>
    <row r="1370" spans="1:10" x14ac:dyDescent="0.25">
      <c r="A1370" s="18" t="s">
        <v>279</v>
      </c>
      <c r="B1370">
        <v>0.59834089832430692</v>
      </c>
      <c r="C1370" s="17">
        <f t="shared" si="21"/>
        <v>46034</v>
      </c>
      <c r="D1370" s="17"/>
      <c r="J1370" s="2" t="s">
        <v>1543</v>
      </c>
    </row>
    <row r="1371" spans="1:10" x14ac:dyDescent="0.25">
      <c r="A1371" s="18" t="s">
        <v>1155</v>
      </c>
      <c r="B1371">
        <v>0.59880020242628973</v>
      </c>
      <c r="C1371" s="17">
        <f t="shared" si="21"/>
        <v>46035</v>
      </c>
      <c r="D1371" s="17"/>
      <c r="J1371" s="2" t="s">
        <v>1544</v>
      </c>
    </row>
    <row r="1372" spans="1:10" x14ac:dyDescent="0.25">
      <c r="A1372" s="18" t="s">
        <v>1618</v>
      </c>
      <c r="B1372">
        <v>0.60000773348197811</v>
      </c>
      <c r="C1372" s="17">
        <f t="shared" si="21"/>
        <v>46036</v>
      </c>
      <c r="D1372" s="17"/>
      <c r="J1372" s="2" t="s">
        <v>1545</v>
      </c>
    </row>
    <row r="1373" spans="1:10" x14ac:dyDescent="0.25">
      <c r="A1373" s="18" t="s">
        <v>164</v>
      </c>
      <c r="B1373">
        <v>0.60087662797252306</v>
      </c>
      <c r="C1373" s="17">
        <f t="shared" si="21"/>
        <v>46037</v>
      </c>
      <c r="D1373" s="17"/>
      <c r="J1373" s="2" t="s">
        <v>1546</v>
      </c>
    </row>
    <row r="1374" spans="1:10" x14ac:dyDescent="0.25">
      <c r="A1374" s="18" t="s">
        <v>771</v>
      </c>
      <c r="B1374">
        <v>0.6009655119703482</v>
      </c>
      <c r="C1374" s="17">
        <f t="shared" si="21"/>
        <v>46038</v>
      </c>
      <c r="D1374" s="17"/>
      <c r="J1374" s="2" t="s">
        <v>389</v>
      </c>
    </row>
    <row r="1375" spans="1:10" x14ac:dyDescent="0.25">
      <c r="A1375" s="18" t="s">
        <v>1201</v>
      </c>
      <c r="B1375">
        <v>0.60138239290884743</v>
      </c>
      <c r="C1375" s="17">
        <f t="shared" si="21"/>
        <v>46039</v>
      </c>
      <c r="D1375" s="17"/>
      <c r="J1375" s="2" t="s">
        <v>1547</v>
      </c>
    </row>
    <row r="1376" spans="1:10" x14ac:dyDescent="0.25">
      <c r="A1376" s="18" t="s">
        <v>583</v>
      </c>
      <c r="B1376">
        <v>0.60202791765180796</v>
      </c>
      <c r="C1376" s="17">
        <f t="shared" si="21"/>
        <v>46040</v>
      </c>
      <c r="D1376" s="17"/>
      <c r="J1376" s="2" t="s">
        <v>8</v>
      </c>
    </row>
    <row r="1377" spans="1:10" x14ac:dyDescent="0.25">
      <c r="A1377" s="18" t="s">
        <v>1363</v>
      </c>
      <c r="B1377">
        <v>0.60240168167252461</v>
      </c>
      <c r="C1377" s="17">
        <f t="shared" si="21"/>
        <v>46041</v>
      </c>
      <c r="D1377" s="17"/>
      <c r="J1377" s="2" t="s">
        <v>261</v>
      </c>
    </row>
    <row r="1378" spans="1:10" x14ac:dyDescent="0.25">
      <c r="A1378" s="18" t="s">
        <v>1171</v>
      </c>
      <c r="B1378">
        <v>0.602722092686095</v>
      </c>
      <c r="C1378" s="17">
        <f t="shared" si="21"/>
        <v>46042</v>
      </c>
      <c r="D1378" s="17"/>
      <c r="J1378" s="2" t="s">
        <v>1548</v>
      </c>
    </row>
    <row r="1379" spans="1:10" x14ac:dyDescent="0.25">
      <c r="A1379" s="18" t="s">
        <v>1376</v>
      </c>
      <c r="B1379">
        <v>0.60296257343914594</v>
      </c>
      <c r="C1379" s="17">
        <f t="shared" si="21"/>
        <v>46043</v>
      </c>
      <c r="D1379" s="17"/>
      <c r="J1379" s="2" t="s">
        <v>302</v>
      </c>
    </row>
    <row r="1380" spans="1:10" x14ac:dyDescent="0.25">
      <c r="A1380" s="18" t="s">
        <v>2246</v>
      </c>
      <c r="B1380">
        <v>0.60382181141378088</v>
      </c>
      <c r="C1380" s="17">
        <f t="shared" si="21"/>
        <v>46044</v>
      </c>
      <c r="D1380" s="17"/>
      <c r="J1380" s="2" t="s">
        <v>1549</v>
      </c>
    </row>
    <row r="1381" spans="1:10" x14ac:dyDescent="0.25">
      <c r="A1381" s="18" t="s">
        <v>1069</v>
      </c>
      <c r="B1381">
        <v>0.60382860809897199</v>
      </c>
      <c r="C1381" s="17">
        <f t="shared" si="21"/>
        <v>46045</v>
      </c>
      <c r="D1381" s="17"/>
      <c r="J1381" s="2" t="s">
        <v>124</v>
      </c>
    </row>
    <row r="1382" spans="1:10" x14ac:dyDescent="0.25">
      <c r="A1382" s="18" t="s">
        <v>1894</v>
      </c>
      <c r="B1382">
        <v>0.60398836543454626</v>
      </c>
      <c r="C1382" s="17">
        <f t="shared" si="21"/>
        <v>46046</v>
      </c>
      <c r="D1382" s="17"/>
      <c r="J1382" s="2" t="s">
        <v>363</v>
      </c>
    </row>
    <row r="1383" spans="1:10" x14ac:dyDescent="0.25">
      <c r="A1383" s="18" t="s">
        <v>1514</v>
      </c>
      <c r="B1383">
        <v>0.60520976028121942</v>
      </c>
      <c r="C1383" s="17">
        <f t="shared" si="21"/>
        <v>46047</v>
      </c>
      <c r="D1383" s="17"/>
      <c r="J1383" s="2" t="s">
        <v>1550</v>
      </c>
    </row>
    <row r="1384" spans="1:10" x14ac:dyDescent="0.25">
      <c r="A1384" s="18" t="s">
        <v>86</v>
      </c>
      <c r="B1384">
        <v>0.60568093918701615</v>
      </c>
      <c r="C1384" s="17">
        <f t="shared" si="21"/>
        <v>46048</v>
      </c>
      <c r="D1384" s="17"/>
      <c r="J1384" s="2" t="s">
        <v>1551</v>
      </c>
    </row>
    <row r="1385" spans="1:10" x14ac:dyDescent="0.25">
      <c r="A1385" s="18" t="s">
        <v>1957</v>
      </c>
      <c r="B1385">
        <v>0.60768775981098988</v>
      </c>
      <c r="C1385" s="17">
        <f t="shared" si="21"/>
        <v>46049</v>
      </c>
      <c r="D1385" s="17"/>
      <c r="J1385" s="2" t="s">
        <v>1552</v>
      </c>
    </row>
    <row r="1386" spans="1:10" x14ac:dyDescent="0.25">
      <c r="A1386" s="18" t="s">
        <v>997</v>
      </c>
      <c r="B1386">
        <v>0.60782288676280682</v>
      </c>
      <c r="C1386" s="17">
        <f t="shared" si="21"/>
        <v>46050</v>
      </c>
      <c r="D1386" s="17"/>
      <c r="J1386" s="2" t="s">
        <v>1553</v>
      </c>
    </row>
    <row r="1387" spans="1:10" x14ac:dyDescent="0.25">
      <c r="A1387" s="18" t="s">
        <v>83</v>
      </c>
      <c r="B1387">
        <v>0.60870790124252327</v>
      </c>
      <c r="C1387" s="17">
        <f t="shared" si="21"/>
        <v>46051</v>
      </c>
      <c r="D1387" s="17"/>
      <c r="J1387" s="2" t="s">
        <v>1554</v>
      </c>
    </row>
    <row r="1388" spans="1:10" x14ac:dyDescent="0.25">
      <c r="A1388" s="18" t="s">
        <v>1895</v>
      </c>
      <c r="B1388">
        <v>0.60881009005454179</v>
      </c>
      <c r="C1388" s="17">
        <f t="shared" si="21"/>
        <v>46052</v>
      </c>
      <c r="D1388" s="17"/>
      <c r="J1388" s="2" t="s">
        <v>1555</v>
      </c>
    </row>
    <row r="1389" spans="1:10" x14ac:dyDescent="0.25">
      <c r="A1389" s="18" t="s">
        <v>168</v>
      </c>
      <c r="B1389">
        <v>0.60923889338081305</v>
      </c>
      <c r="C1389" s="17">
        <f t="shared" si="21"/>
        <v>46053</v>
      </c>
      <c r="D1389" s="17"/>
      <c r="J1389" s="2" t="s">
        <v>1556</v>
      </c>
    </row>
    <row r="1390" spans="1:10" x14ac:dyDescent="0.25">
      <c r="A1390" s="18" t="s">
        <v>903</v>
      </c>
      <c r="B1390">
        <v>0.60944860359375808</v>
      </c>
      <c r="C1390" s="17">
        <f t="shared" si="21"/>
        <v>46054</v>
      </c>
      <c r="D1390" s="17"/>
      <c r="J1390" s="2" t="s">
        <v>1557</v>
      </c>
    </row>
    <row r="1391" spans="1:10" x14ac:dyDescent="0.25">
      <c r="A1391" s="18" t="s">
        <v>1831</v>
      </c>
      <c r="B1391">
        <v>0.60972934040581162</v>
      </c>
      <c r="C1391" s="17">
        <f t="shared" si="21"/>
        <v>46055</v>
      </c>
      <c r="D1391" s="17"/>
      <c r="J1391" s="2" t="s">
        <v>1558</v>
      </c>
    </row>
    <row r="1392" spans="1:10" x14ac:dyDescent="0.25">
      <c r="A1392" s="18" t="s">
        <v>1527</v>
      </c>
      <c r="B1392">
        <v>0.60994420821394646</v>
      </c>
      <c r="C1392" s="17">
        <f t="shared" si="21"/>
        <v>46056</v>
      </c>
      <c r="D1392" s="17"/>
      <c r="J1392" s="2" t="s">
        <v>1559</v>
      </c>
    </row>
    <row r="1393" spans="1:10" x14ac:dyDescent="0.25">
      <c r="A1393" s="18" t="s">
        <v>1154</v>
      </c>
      <c r="B1393">
        <v>0.61080355790795771</v>
      </c>
      <c r="C1393" s="17">
        <f t="shared" si="21"/>
        <v>46057</v>
      </c>
      <c r="D1393" s="17"/>
      <c r="J1393" s="2" t="s">
        <v>1560</v>
      </c>
    </row>
    <row r="1394" spans="1:10" x14ac:dyDescent="0.25">
      <c r="A1394" s="18" t="s">
        <v>1677</v>
      </c>
      <c r="B1394">
        <v>0.61089756877869716</v>
      </c>
      <c r="C1394" s="17">
        <f t="shared" si="21"/>
        <v>46058</v>
      </c>
      <c r="D1394" s="17"/>
      <c r="J1394" s="2" t="s">
        <v>1561</v>
      </c>
    </row>
    <row r="1395" spans="1:10" x14ac:dyDescent="0.25">
      <c r="A1395" s="18" t="s">
        <v>2143</v>
      </c>
      <c r="B1395">
        <v>0.6116908224401072</v>
      </c>
      <c r="C1395" s="17">
        <f t="shared" si="21"/>
        <v>46059</v>
      </c>
      <c r="D1395" s="17"/>
      <c r="J1395" s="2" t="s">
        <v>1562</v>
      </c>
    </row>
    <row r="1396" spans="1:10" x14ac:dyDescent="0.25">
      <c r="A1396" s="18" t="s">
        <v>2245</v>
      </c>
      <c r="B1396">
        <v>0.61176078533840372</v>
      </c>
      <c r="C1396" s="17">
        <f t="shared" si="21"/>
        <v>46060</v>
      </c>
      <c r="D1396" s="17"/>
      <c r="J1396" s="2" t="s">
        <v>1563</v>
      </c>
    </row>
    <row r="1397" spans="1:10" x14ac:dyDescent="0.25">
      <c r="A1397" s="18" t="s">
        <v>1898</v>
      </c>
      <c r="B1397">
        <v>0.61282045285076203</v>
      </c>
      <c r="C1397" s="17">
        <f t="shared" si="21"/>
        <v>46061</v>
      </c>
      <c r="D1397" s="17"/>
      <c r="J1397" s="2" t="s">
        <v>1564</v>
      </c>
    </row>
    <row r="1398" spans="1:10" x14ac:dyDescent="0.25">
      <c r="A1398" s="18" t="s">
        <v>2274</v>
      </c>
      <c r="B1398">
        <v>0.61282423812414111</v>
      </c>
      <c r="C1398" s="17">
        <f t="shared" si="21"/>
        <v>46062</v>
      </c>
      <c r="D1398" s="17"/>
      <c r="J1398" s="2" t="s">
        <v>1565</v>
      </c>
    </row>
    <row r="1399" spans="1:10" x14ac:dyDescent="0.25">
      <c r="A1399" s="18" t="s">
        <v>2066</v>
      </c>
      <c r="B1399">
        <v>0.61309669036099457</v>
      </c>
      <c r="C1399" s="17">
        <f t="shared" si="21"/>
        <v>46063</v>
      </c>
      <c r="D1399" s="17"/>
      <c r="J1399" s="2" t="s">
        <v>69</v>
      </c>
    </row>
    <row r="1400" spans="1:10" x14ac:dyDescent="0.25">
      <c r="A1400" s="18" t="s">
        <v>1892</v>
      </c>
      <c r="B1400">
        <v>0.61319193651077475</v>
      </c>
      <c r="C1400" s="17">
        <f t="shared" si="21"/>
        <v>46064</v>
      </c>
      <c r="D1400" s="17"/>
      <c r="J1400" s="2" t="s">
        <v>1566</v>
      </c>
    </row>
    <row r="1401" spans="1:10" x14ac:dyDescent="0.25">
      <c r="A1401" s="18" t="s">
        <v>1280</v>
      </c>
      <c r="B1401">
        <v>0.61412026746733761</v>
      </c>
      <c r="C1401" s="17">
        <f t="shared" si="21"/>
        <v>46065</v>
      </c>
      <c r="D1401" s="17"/>
      <c r="J1401" s="2" t="s">
        <v>1567</v>
      </c>
    </row>
    <row r="1402" spans="1:10" x14ac:dyDescent="0.25">
      <c r="A1402" s="18" t="s">
        <v>1678</v>
      </c>
      <c r="B1402">
        <v>0.61437202110402478</v>
      </c>
      <c r="C1402" s="17">
        <f t="shared" si="21"/>
        <v>46066</v>
      </c>
      <c r="D1402" s="17"/>
      <c r="J1402" s="2" t="s">
        <v>1568</v>
      </c>
    </row>
    <row r="1403" spans="1:10" x14ac:dyDescent="0.25">
      <c r="A1403" s="18" t="s">
        <v>1131</v>
      </c>
      <c r="B1403">
        <v>0.61451218844457201</v>
      </c>
      <c r="C1403" s="17">
        <f t="shared" si="21"/>
        <v>46067</v>
      </c>
      <c r="D1403" s="17"/>
      <c r="J1403" s="2" t="s">
        <v>1569</v>
      </c>
    </row>
    <row r="1404" spans="1:10" x14ac:dyDescent="0.25">
      <c r="A1404" s="18" t="s">
        <v>2168</v>
      </c>
      <c r="B1404">
        <v>0.61533410725314108</v>
      </c>
      <c r="C1404" s="17">
        <f t="shared" si="21"/>
        <v>46068</v>
      </c>
      <c r="D1404" s="17"/>
      <c r="J1404" s="2" t="s">
        <v>1570</v>
      </c>
    </row>
    <row r="1405" spans="1:10" x14ac:dyDescent="0.25">
      <c r="A1405" s="18" t="s">
        <v>1166</v>
      </c>
      <c r="B1405">
        <v>0.61592578563941069</v>
      </c>
      <c r="C1405" s="17">
        <f t="shared" si="21"/>
        <v>46069</v>
      </c>
      <c r="D1405" s="17"/>
      <c r="J1405" s="2" t="s">
        <v>1571</v>
      </c>
    </row>
    <row r="1406" spans="1:10" x14ac:dyDescent="0.25">
      <c r="A1406" s="18" t="s">
        <v>1875</v>
      </c>
      <c r="B1406">
        <v>0.61613280035511775</v>
      </c>
      <c r="C1406" s="17">
        <f t="shared" si="21"/>
        <v>46070</v>
      </c>
      <c r="D1406" s="17"/>
      <c r="J1406" s="2" t="s">
        <v>251</v>
      </c>
    </row>
    <row r="1407" spans="1:10" x14ac:dyDescent="0.25">
      <c r="A1407" s="18" t="s">
        <v>1261</v>
      </c>
      <c r="B1407">
        <v>0.61631577301875784</v>
      </c>
      <c r="C1407" s="17">
        <f t="shared" si="21"/>
        <v>46071</v>
      </c>
      <c r="D1407" s="17"/>
      <c r="J1407" s="2" t="s">
        <v>1572</v>
      </c>
    </row>
    <row r="1408" spans="1:10" x14ac:dyDescent="0.25">
      <c r="A1408" s="18" t="s">
        <v>1346</v>
      </c>
      <c r="B1408">
        <v>0.61637337155837668</v>
      </c>
      <c r="C1408" s="17">
        <f t="shared" si="21"/>
        <v>46072</v>
      </c>
      <c r="D1408" s="17"/>
      <c r="J1408" s="2" t="s">
        <v>1573</v>
      </c>
    </row>
    <row r="1409" spans="1:10" x14ac:dyDescent="0.25">
      <c r="A1409" s="18" t="s">
        <v>442</v>
      </c>
      <c r="B1409">
        <v>0.61744479213500381</v>
      </c>
      <c r="C1409" s="17">
        <f t="shared" si="21"/>
        <v>46073</v>
      </c>
      <c r="D1409" s="17"/>
      <c r="J1409" s="2" t="s">
        <v>1574</v>
      </c>
    </row>
    <row r="1410" spans="1:10" x14ac:dyDescent="0.25">
      <c r="A1410" s="18" t="s">
        <v>969</v>
      </c>
      <c r="B1410">
        <v>0.61832424768182059</v>
      </c>
      <c r="C1410" s="17">
        <f t="shared" si="21"/>
        <v>46074</v>
      </c>
      <c r="D1410" s="17"/>
      <c r="J1410" s="2" t="s">
        <v>1575</v>
      </c>
    </row>
    <row r="1411" spans="1:10" x14ac:dyDescent="0.25">
      <c r="A1411" s="18" t="s">
        <v>1669</v>
      </c>
      <c r="B1411">
        <v>0.61853215459135191</v>
      </c>
      <c r="C1411" s="17">
        <f t="shared" si="21"/>
        <v>46075</v>
      </c>
      <c r="D1411" s="17"/>
      <c r="J1411" s="2" t="s">
        <v>1576</v>
      </c>
    </row>
    <row r="1412" spans="1:10" x14ac:dyDescent="0.25">
      <c r="A1412" s="18" t="s">
        <v>347</v>
      </c>
      <c r="B1412">
        <v>0.61854730600243368</v>
      </c>
      <c r="C1412" s="17">
        <f t="shared" ref="C1412:C1475" si="22">C1411+1</f>
        <v>46076</v>
      </c>
      <c r="D1412" s="17"/>
      <c r="J1412" s="2" t="s">
        <v>1577</v>
      </c>
    </row>
    <row r="1413" spans="1:10" x14ac:dyDescent="0.25">
      <c r="A1413" s="18" t="s">
        <v>1667</v>
      </c>
      <c r="B1413">
        <v>0.6197770472867552</v>
      </c>
      <c r="C1413" s="17">
        <f t="shared" si="22"/>
        <v>46077</v>
      </c>
      <c r="D1413" s="17"/>
      <c r="J1413" s="2" t="s">
        <v>1578</v>
      </c>
    </row>
    <row r="1414" spans="1:10" x14ac:dyDescent="0.25">
      <c r="A1414" s="18" t="s">
        <v>1936</v>
      </c>
      <c r="B1414">
        <v>0.62017935867762797</v>
      </c>
      <c r="C1414" s="17">
        <f t="shared" si="22"/>
        <v>46078</v>
      </c>
      <c r="D1414" s="17"/>
      <c r="J1414" s="2" t="s">
        <v>1579</v>
      </c>
    </row>
    <row r="1415" spans="1:10" x14ac:dyDescent="0.25">
      <c r="A1415" s="18" t="s">
        <v>78</v>
      </c>
      <c r="B1415">
        <v>0.62024683655368462</v>
      </c>
      <c r="C1415" s="17">
        <f t="shared" si="22"/>
        <v>46079</v>
      </c>
      <c r="D1415" s="17"/>
      <c r="J1415" s="2" t="s">
        <v>1580</v>
      </c>
    </row>
    <row r="1416" spans="1:10" x14ac:dyDescent="0.25">
      <c r="A1416" s="18" t="s">
        <v>1038</v>
      </c>
      <c r="B1416">
        <v>0.62056015378689644</v>
      </c>
      <c r="C1416" s="17">
        <f t="shared" si="22"/>
        <v>46080</v>
      </c>
      <c r="D1416" s="17"/>
      <c r="J1416" s="2" t="s">
        <v>40</v>
      </c>
    </row>
    <row r="1417" spans="1:10" x14ac:dyDescent="0.25">
      <c r="A1417" s="18" t="s">
        <v>1240</v>
      </c>
      <c r="B1417">
        <v>0.62058782797731515</v>
      </c>
      <c r="C1417" s="17">
        <f t="shared" si="22"/>
        <v>46081</v>
      </c>
      <c r="D1417" s="17"/>
      <c r="J1417" s="2" t="s">
        <v>1581</v>
      </c>
    </row>
    <row r="1418" spans="1:10" x14ac:dyDescent="0.25">
      <c r="A1418" s="18" t="s">
        <v>790</v>
      </c>
      <c r="B1418">
        <v>0.6210226329144195</v>
      </c>
      <c r="C1418" s="17">
        <f t="shared" si="22"/>
        <v>46082</v>
      </c>
      <c r="D1418" s="17"/>
      <c r="J1418" s="2" t="s">
        <v>1582</v>
      </c>
    </row>
    <row r="1419" spans="1:10" x14ac:dyDescent="0.25">
      <c r="A1419" s="18" t="s">
        <v>713</v>
      </c>
      <c r="B1419">
        <v>0.62224797368153817</v>
      </c>
      <c r="C1419" s="17">
        <f t="shared" si="22"/>
        <v>46083</v>
      </c>
      <c r="D1419" s="17"/>
      <c r="J1419" s="2" t="s">
        <v>1583</v>
      </c>
    </row>
    <row r="1420" spans="1:10" x14ac:dyDescent="0.25">
      <c r="A1420" s="18" t="s">
        <v>323</v>
      </c>
      <c r="B1420">
        <v>0.62234538237640613</v>
      </c>
      <c r="C1420" s="17">
        <f t="shared" si="22"/>
        <v>46084</v>
      </c>
      <c r="D1420" s="17"/>
      <c r="J1420" s="2" t="s">
        <v>1584</v>
      </c>
    </row>
    <row r="1421" spans="1:10" x14ac:dyDescent="0.25">
      <c r="A1421" s="18" t="s">
        <v>510</v>
      </c>
      <c r="B1421">
        <v>0.62248416327280576</v>
      </c>
      <c r="C1421" s="17">
        <f t="shared" si="22"/>
        <v>46085</v>
      </c>
      <c r="D1421" s="17"/>
      <c r="J1421" s="2" t="s">
        <v>1585</v>
      </c>
    </row>
    <row r="1422" spans="1:10" x14ac:dyDescent="0.25">
      <c r="A1422" s="18" t="s">
        <v>493</v>
      </c>
      <c r="B1422">
        <v>0.62305502470576535</v>
      </c>
      <c r="C1422" s="17">
        <f t="shared" si="22"/>
        <v>46086</v>
      </c>
      <c r="D1422" s="17"/>
      <c r="J1422" s="2" t="s">
        <v>1586</v>
      </c>
    </row>
    <row r="1423" spans="1:10" x14ac:dyDescent="0.25">
      <c r="A1423" s="18" t="s">
        <v>541</v>
      </c>
      <c r="B1423">
        <v>0.6234091277668421</v>
      </c>
      <c r="C1423" s="17">
        <f t="shared" si="22"/>
        <v>46087</v>
      </c>
      <c r="D1423" s="17"/>
      <c r="J1423" s="2" t="s">
        <v>1587</v>
      </c>
    </row>
    <row r="1424" spans="1:10" x14ac:dyDescent="0.25">
      <c r="A1424" s="18" t="s">
        <v>1756</v>
      </c>
      <c r="B1424">
        <v>0.62346883445613621</v>
      </c>
      <c r="C1424" s="17">
        <f t="shared" si="22"/>
        <v>46088</v>
      </c>
      <c r="D1424" s="17"/>
      <c r="J1424" s="2" t="s">
        <v>441</v>
      </c>
    </row>
    <row r="1425" spans="1:10" x14ac:dyDescent="0.25">
      <c r="A1425" s="18" t="s">
        <v>1048</v>
      </c>
      <c r="B1425">
        <v>0.62360208353323032</v>
      </c>
      <c r="C1425" s="17">
        <f t="shared" si="22"/>
        <v>46089</v>
      </c>
      <c r="D1425" s="17"/>
      <c r="J1425" s="2" t="s">
        <v>1588</v>
      </c>
    </row>
    <row r="1426" spans="1:10" x14ac:dyDescent="0.25">
      <c r="A1426" s="18" t="s">
        <v>80</v>
      </c>
      <c r="B1426">
        <v>0.62378746314538025</v>
      </c>
      <c r="C1426" s="17">
        <f t="shared" si="22"/>
        <v>46090</v>
      </c>
      <c r="D1426" s="17"/>
      <c r="J1426" s="2" t="s">
        <v>187</v>
      </c>
    </row>
    <row r="1427" spans="1:10" x14ac:dyDescent="0.25">
      <c r="A1427" s="18" t="s">
        <v>1889</v>
      </c>
      <c r="B1427">
        <v>0.62459745456688609</v>
      </c>
      <c r="C1427" s="17">
        <f t="shared" si="22"/>
        <v>46091</v>
      </c>
      <c r="D1427" s="17"/>
      <c r="J1427" s="2" t="s">
        <v>313</v>
      </c>
    </row>
    <row r="1428" spans="1:10" x14ac:dyDescent="0.25">
      <c r="A1428" s="18" t="s">
        <v>1955</v>
      </c>
      <c r="B1428">
        <v>0.62470911575384613</v>
      </c>
      <c r="C1428" s="17">
        <f t="shared" si="22"/>
        <v>46092</v>
      </c>
      <c r="D1428" s="17"/>
      <c r="J1428" s="2" t="s">
        <v>330</v>
      </c>
    </row>
    <row r="1429" spans="1:10" x14ac:dyDescent="0.25">
      <c r="A1429" s="18" t="s">
        <v>82</v>
      </c>
      <c r="B1429">
        <v>0.62479124474442127</v>
      </c>
      <c r="C1429" s="17">
        <f t="shared" si="22"/>
        <v>46093</v>
      </c>
      <c r="D1429" s="17"/>
      <c r="J1429" s="2" t="s">
        <v>1589</v>
      </c>
    </row>
    <row r="1430" spans="1:10" x14ac:dyDescent="0.25">
      <c r="A1430" s="18" t="s">
        <v>236</v>
      </c>
      <c r="B1430">
        <v>0.62499956064911999</v>
      </c>
      <c r="C1430" s="17">
        <f t="shared" si="22"/>
        <v>46094</v>
      </c>
      <c r="D1430" s="17"/>
      <c r="J1430" s="2" t="s">
        <v>1590</v>
      </c>
    </row>
    <row r="1431" spans="1:10" x14ac:dyDescent="0.25">
      <c r="A1431" s="18" t="s">
        <v>1604</v>
      </c>
      <c r="B1431">
        <v>0.6251445486763465</v>
      </c>
      <c r="C1431" s="17">
        <f t="shared" si="22"/>
        <v>46095</v>
      </c>
      <c r="D1431" s="17"/>
      <c r="J1431" s="2" t="s">
        <v>1591</v>
      </c>
    </row>
    <row r="1432" spans="1:10" x14ac:dyDescent="0.25">
      <c r="A1432" s="18" t="s">
        <v>1579</v>
      </c>
      <c r="B1432">
        <v>0.62541164366862256</v>
      </c>
      <c r="C1432" s="17">
        <f t="shared" si="22"/>
        <v>46096</v>
      </c>
      <c r="D1432" s="17"/>
      <c r="J1432" s="2" t="s">
        <v>1592</v>
      </c>
    </row>
    <row r="1433" spans="1:10" x14ac:dyDescent="0.25">
      <c r="A1433" s="18" t="s">
        <v>2044</v>
      </c>
      <c r="B1433">
        <v>0.62548171627081084</v>
      </c>
      <c r="C1433" s="17">
        <f t="shared" si="22"/>
        <v>46097</v>
      </c>
      <c r="D1433" s="17"/>
      <c r="J1433" s="2" t="s">
        <v>198</v>
      </c>
    </row>
    <row r="1434" spans="1:10" x14ac:dyDescent="0.25">
      <c r="A1434" s="18" t="s">
        <v>2013</v>
      </c>
      <c r="B1434">
        <v>0.62567412572211623</v>
      </c>
      <c r="C1434" s="17">
        <f t="shared" si="22"/>
        <v>46098</v>
      </c>
      <c r="D1434" s="17"/>
      <c r="J1434" s="2" t="s">
        <v>1593</v>
      </c>
    </row>
    <row r="1435" spans="1:10" x14ac:dyDescent="0.25">
      <c r="A1435" s="18" t="s">
        <v>1661</v>
      </c>
      <c r="B1435">
        <v>0.62586900795758393</v>
      </c>
      <c r="C1435" s="17">
        <f t="shared" si="22"/>
        <v>46099</v>
      </c>
      <c r="D1435" s="17"/>
      <c r="J1435" s="2" t="s">
        <v>1594</v>
      </c>
    </row>
    <row r="1436" spans="1:10" x14ac:dyDescent="0.25">
      <c r="A1436" s="18" t="s">
        <v>490</v>
      </c>
      <c r="B1436">
        <v>0.62587042612199917</v>
      </c>
      <c r="C1436" s="17">
        <f t="shared" si="22"/>
        <v>46100</v>
      </c>
      <c r="D1436" s="17"/>
      <c r="J1436" s="2" t="s">
        <v>1595</v>
      </c>
    </row>
    <row r="1437" spans="1:10" x14ac:dyDescent="0.25">
      <c r="A1437" s="18" t="s">
        <v>1963</v>
      </c>
      <c r="B1437">
        <v>0.6266420385107736</v>
      </c>
      <c r="C1437" s="17">
        <f t="shared" si="22"/>
        <v>46101</v>
      </c>
      <c r="D1437" s="17"/>
      <c r="J1437" s="2" t="s">
        <v>1596</v>
      </c>
    </row>
    <row r="1438" spans="1:10" x14ac:dyDescent="0.25">
      <c r="A1438" s="18" t="s">
        <v>152</v>
      </c>
      <c r="B1438">
        <v>0.62722927381448323</v>
      </c>
      <c r="C1438" s="17">
        <f t="shared" si="22"/>
        <v>46102</v>
      </c>
      <c r="D1438" s="17"/>
      <c r="J1438" s="2" t="s">
        <v>425</v>
      </c>
    </row>
    <row r="1439" spans="1:10" x14ac:dyDescent="0.25">
      <c r="A1439" s="18" t="s">
        <v>1398</v>
      </c>
      <c r="B1439">
        <v>0.62763743693823004</v>
      </c>
      <c r="C1439" s="17">
        <f t="shared" si="22"/>
        <v>46103</v>
      </c>
      <c r="D1439" s="17"/>
      <c r="J1439" s="2" t="s">
        <v>1597</v>
      </c>
    </row>
    <row r="1440" spans="1:10" x14ac:dyDescent="0.25">
      <c r="A1440" s="18" t="s">
        <v>191</v>
      </c>
      <c r="B1440">
        <v>0.62834390282730612</v>
      </c>
      <c r="C1440" s="17">
        <f t="shared" si="22"/>
        <v>46104</v>
      </c>
      <c r="D1440" s="17"/>
      <c r="J1440" s="2" t="s">
        <v>438</v>
      </c>
    </row>
    <row r="1441" spans="1:10" x14ac:dyDescent="0.25">
      <c r="A1441" s="18" t="s">
        <v>1615</v>
      </c>
      <c r="B1441">
        <v>0.62861239792642831</v>
      </c>
      <c r="C1441" s="17">
        <f t="shared" si="22"/>
        <v>46105</v>
      </c>
      <c r="D1441" s="17"/>
      <c r="J1441" s="2" t="s">
        <v>1598</v>
      </c>
    </row>
    <row r="1442" spans="1:10" x14ac:dyDescent="0.25">
      <c r="A1442" s="18" t="s">
        <v>1421</v>
      </c>
      <c r="B1442">
        <v>0.62861534614819814</v>
      </c>
      <c r="C1442" s="17">
        <f t="shared" si="22"/>
        <v>46106</v>
      </c>
      <c r="D1442" s="17"/>
      <c r="J1442" s="2" t="s">
        <v>1599</v>
      </c>
    </row>
    <row r="1443" spans="1:10" x14ac:dyDescent="0.25">
      <c r="A1443" s="18" t="s">
        <v>802</v>
      </c>
      <c r="B1443">
        <v>0.62917532169993329</v>
      </c>
      <c r="C1443" s="17">
        <f t="shared" si="22"/>
        <v>46107</v>
      </c>
      <c r="D1443" s="17"/>
      <c r="J1443" s="2" t="s">
        <v>54</v>
      </c>
    </row>
    <row r="1444" spans="1:10" x14ac:dyDescent="0.25">
      <c r="A1444" s="18" t="s">
        <v>2155</v>
      </c>
      <c r="B1444">
        <v>0.62926569132855259</v>
      </c>
      <c r="C1444" s="17">
        <f t="shared" si="22"/>
        <v>46108</v>
      </c>
      <c r="D1444" s="17"/>
      <c r="J1444" s="2" t="s">
        <v>1600</v>
      </c>
    </row>
    <row r="1445" spans="1:10" x14ac:dyDescent="0.25">
      <c r="A1445" s="18" t="s">
        <v>2034</v>
      </c>
      <c r="B1445">
        <v>0.62987738289464146</v>
      </c>
      <c r="C1445" s="17">
        <f t="shared" si="22"/>
        <v>46109</v>
      </c>
      <c r="D1445" s="17"/>
      <c r="J1445" s="2" t="s">
        <v>1601</v>
      </c>
    </row>
    <row r="1446" spans="1:10" x14ac:dyDescent="0.25">
      <c r="A1446" s="18" t="s">
        <v>758</v>
      </c>
      <c r="B1446">
        <v>0.63068171842661369</v>
      </c>
      <c r="C1446" s="17">
        <f t="shared" si="22"/>
        <v>46110</v>
      </c>
      <c r="D1446" s="17"/>
      <c r="J1446" s="2" t="s">
        <v>1602</v>
      </c>
    </row>
    <row r="1447" spans="1:10" x14ac:dyDescent="0.25">
      <c r="A1447" s="18" t="s">
        <v>1659</v>
      </c>
      <c r="B1447">
        <v>0.63076566739061757</v>
      </c>
      <c r="C1447" s="17">
        <f t="shared" si="22"/>
        <v>46111</v>
      </c>
      <c r="D1447" s="17"/>
      <c r="J1447" s="2" t="s">
        <v>172</v>
      </c>
    </row>
    <row r="1448" spans="1:10" x14ac:dyDescent="0.25">
      <c r="A1448" s="18" t="s">
        <v>1315</v>
      </c>
      <c r="B1448">
        <v>0.63092169808530218</v>
      </c>
      <c r="C1448" s="17">
        <f t="shared" si="22"/>
        <v>46112</v>
      </c>
      <c r="D1448" s="17"/>
      <c r="J1448" s="2" t="s">
        <v>1603</v>
      </c>
    </row>
    <row r="1449" spans="1:10" x14ac:dyDescent="0.25">
      <c r="A1449" s="18" t="s">
        <v>1786</v>
      </c>
      <c r="B1449">
        <v>0.63112135307546779</v>
      </c>
      <c r="C1449" s="17">
        <f t="shared" si="22"/>
        <v>46113</v>
      </c>
      <c r="D1449" s="17"/>
      <c r="J1449" s="2" t="s">
        <v>1604</v>
      </c>
    </row>
    <row r="1450" spans="1:10" x14ac:dyDescent="0.25">
      <c r="A1450" s="18" t="s">
        <v>325</v>
      </c>
      <c r="B1450">
        <v>0.63126529653027619</v>
      </c>
      <c r="C1450" s="17">
        <f t="shared" si="22"/>
        <v>46114</v>
      </c>
      <c r="D1450" s="17"/>
      <c r="J1450" s="2" t="s">
        <v>1605</v>
      </c>
    </row>
    <row r="1451" spans="1:10" x14ac:dyDescent="0.25">
      <c r="A1451" s="18" t="s">
        <v>703</v>
      </c>
      <c r="B1451">
        <v>0.63140116955880499</v>
      </c>
      <c r="C1451" s="17">
        <f t="shared" si="22"/>
        <v>46115</v>
      </c>
      <c r="D1451" s="17"/>
      <c r="J1451" s="2" t="s">
        <v>1606</v>
      </c>
    </row>
    <row r="1452" spans="1:10" x14ac:dyDescent="0.25">
      <c r="A1452" s="18" t="s">
        <v>386</v>
      </c>
      <c r="B1452">
        <v>0.63147447578068272</v>
      </c>
      <c r="C1452" s="17">
        <f t="shared" si="22"/>
        <v>46116</v>
      </c>
      <c r="D1452" s="17"/>
      <c r="J1452" s="2" t="s">
        <v>1607</v>
      </c>
    </row>
    <row r="1453" spans="1:10" x14ac:dyDescent="0.25">
      <c r="A1453" s="18" t="s">
        <v>2100</v>
      </c>
      <c r="B1453">
        <v>0.6317651748660843</v>
      </c>
      <c r="C1453" s="17">
        <f t="shared" si="22"/>
        <v>46117</v>
      </c>
      <c r="D1453" s="17"/>
      <c r="J1453" s="2" t="s">
        <v>1608</v>
      </c>
    </row>
    <row r="1454" spans="1:10" x14ac:dyDescent="0.25">
      <c r="A1454" s="18" t="s">
        <v>2087</v>
      </c>
      <c r="B1454">
        <v>0.63178614932621779</v>
      </c>
      <c r="C1454" s="17">
        <f t="shared" si="22"/>
        <v>46118</v>
      </c>
      <c r="D1454" s="17"/>
      <c r="J1454" s="2" t="s">
        <v>1609</v>
      </c>
    </row>
    <row r="1455" spans="1:10" x14ac:dyDescent="0.25">
      <c r="A1455" s="18" t="s">
        <v>2231</v>
      </c>
      <c r="B1455">
        <v>0.63226507371472418</v>
      </c>
      <c r="C1455" s="17">
        <f t="shared" si="22"/>
        <v>46119</v>
      </c>
      <c r="D1455" s="17"/>
      <c r="J1455" s="2" t="s">
        <v>1610</v>
      </c>
    </row>
    <row r="1456" spans="1:10" x14ac:dyDescent="0.25">
      <c r="A1456" s="18" t="s">
        <v>2220</v>
      </c>
      <c r="B1456">
        <v>0.63228045087358975</v>
      </c>
      <c r="C1456" s="17">
        <f t="shared" si="22"/>
        <v>46120</v>
      </c>
      <c r="D1456" s="17"/>
      <c r="J1456" s="2" t="s">
        <v>1611</v>
      </c>
    </row>
    <row r="1457" spans="1:10" x14ac:dyDescent="0.25">
      <c r="A1457" s="18" t="s">
        <v>619</v>
      </c>
      <c r="B1457">
        <v>0.63247951609288811</v>
      </c>
      <c r="C1457" s="17">
        <f t="shared" si="22"/>
        <v>46121</v>
      </c>
      <c r="D1457" s="17"/>
      <c r="J1457" s="2" t="s">
        <v>1612</v>
      </c>
    </row>
    <row r="1458" spans="1:10" x14ac:dyDescent="0.25">
      <c r="A1458" s="18" t="s">
        <v>1799</v>
      </c>
      <c r="B1458">
        <v>0.63271564299285021</v>
      </c>
      <c r="C1458" s="17">
        <f t="shared" si="22"/>
        <v>46122</v>
      </c>
      <c r="D1458" s="17"/>
      <c r="J1458" s="2" t="s">
        <v>1613</v>
      </c>
    </row>
    <row r="1459" spans="1:10" x14ac:dyDescent="0.25">
      <c r="A1459" s="18" t="s">
        <v>1916</v>
      </c>
      <c r="B1459">
        <v>0.63315450142869079</v>
      </c>
      <c r="C1459" s="17">
        <f t="shared" si="22"/>
        <v>46123</v>
      </c>
      <c r="D1459" s="17"/>
      <c r="J1459" s="2" t="s">
        <v>1614</v>
      </c>
    </row>
    <row r="1460" spans="1:10" x14ac:dyDescent="0.25">
      <c r="A1460" s="18" t="s">
        <v>1219</v>
      </c>
      <c r="B1460">
        <v>0.63338797053609897</v>
      </c>
      <c r="C1460" s="17">
        <f t="shared" si="22"/>
        <v>46124</v>
      </c>
      <c r="D1460" s="17"/>
      <c r="J1460" s="2" t="s">
        <v>1615</v>
      </c>
    </row>
    <row r="1461" spans="1:10" x14ac:dyDescent="0.25">
      <c r="A1461" s="18" t="s">
        <v>1193</v>
      </c>
      <c r="B1461">
        <v>0.6343314706017209</v>
      </c>
      <c r="C1461" s="17">
        <f t="shared" si="22"/>
        <v>46125</v>
      </c>
      <c r="D1461" s="17"/>
      <c r="J1461" s="2" t="s">
        <v>1616</v>
      </c>
    </row>
    <row r="1462" spans="1:10" x14ac:dyDescent="0.25">
      <c r="A1462" s="18" t="s">
        <v>2224</v>
      </c>
      <c r="B1462">
        <v>0.63517790384841843</v>
      </c>
      <c r="C1462" s="17">
        <f t="shared" si="22"/>
        <v>46126</v>
      </c>
      <c r="D1462" s="17"/>
      <c r="J1462" s="2" t="s">
        <v>1617</v>
      </c>
    </row>
    <row r="1463" spans="1:10" x14ac:dyDescent="0.25">
      <c r="A1463" s="18" t="s">
        <v>611</v>
      </c>
      <c r="B1463">
        <v>0.6352512316914587</v>
      </c>
      <c r="C1463" s="17">
        <f t="shared" si="22"/>
        <v>46127</v>
      </c>
      <c r="D1463" s="17"/>
      <c r="J1463" s="2" t="s">
        <v>1618</v>
      </c>
    </row>
    <row r="1464" spans="1:10" x14ac:dyDescent="0.25">
      <c r="A1464" s="18" t="s">
        <v>2038</v>
      </c>
      <c r="B1464">
        <v>0.63565110535361002</v>
      </c>
      <c r="C1464" s="17">
        <f t="shared" si="22"/>
        <v>46128</v>
      </c>
      <c r="D1464" s="17"/>
      <c r="J1464" s="2" t="s">
        <v>1619</v>
      </c>
    </row>
    <row r="1465" spans="1:10" x14ac:dyDescent="0.25">
      <c r="A1465" s="18" t="s">
        <v>1086</v>
      </c>
      <c r="B1465">
        <v>0.63583666797580851</v>
      </c>
      <c r="C1465" s="17">
        <f t="shared" si="22"/>
        <v>46129</v>
      </c>
      <c r="D1465" s="17"/>
      <c r="J1465" s="2" t="s">
        <v>1620</v>
      </c>
    </row>
    <row r="1466" spans="1:10" x14ac:dyDescent="0.25">
      <c r="A1466" s="18" t="s">
        <v>1560</v>
      </c>
      <c r="B1466">
        <v>0.6359075936845191</v>
      </c>
      <c r="C1466" s="17">
        <f t="shared" si="22"/>
        <v>46130</v>
      </c>
      <c r="D1466" s="17"/>
      <c r="J1466" s="2" t="s">
        <v>1621</v>
      </c>
    </row>
    <row r="1467" spans="1:10" x14ac:dyDescent="0.25">
      <c r="A1467" s="18" t="s">
        <v>693</v>
      </c>
      <c r="B1467">
        <v>0.63655109174340441</v>
      </c>
      <c r="C1467" s="17">
        <f t="shared" si="22"/>
        <v>46131</v>
      </c>
      <c r="D1467" s="17"/>
      <c r="J1467" s="2" t="s">
        <v>1622</v>
      </c>
    </row>
    <row r="1468" spans="1:10" x14ac:dyDescent="0.25">
      <c r="A1468" s="18" t="s">
        <v>757</v>
      </c>
      <c r="B1468">
        <v>0.63762753633466696</v>
      </c>
      <c r="C1468" s="17">
        <f t="shared" si="22"/>
        <v>46132</v>
      </c>
      <c r="D1468" s="17"/>
      <c r="J1468" s="2" t="s">
        <v>1623</v>
      </c>
    </row>
    <row r="1469" spans="1:10" x14ac:dyDescent="0.25">
      <c r="A1469" s="18" t="s">
        <v>270</v>
      </c>
      <c r="B1469">
        <v>0.63781040384557708</v>
      </c>
      <c r="C1469" s="17">
        <f t="shared" si="22"/>
        <v>46133</v>
      </c>
      <c r="D1469" s="17"/>
      <c r="J1469" s="2" t="s">
        <v>1624</v>
      </c>
    </row>
    <row r="1470" spans="1:10" x14ac:dyDescent="0.25">
      <c r="A1470" s="18" t="s">
        <v>978</v>
      </c>
      <c r="B1470">
        <v>0.63781476831491091</v>
      </c>
      <c r="C1470" s="17">
        <f t="shared" si="22"/>
        <v>46134</v>
      </c>
      <c r="D1470" s="17"/>
      <c r="J1470" s="2" t="s">
        <v>1625</v>
      </c>
    </row>
    <row r="1471" spans="1:10" x14ac:dyDescent="0.25">
      <c r="A1471" s="18" t="s">
        <v>1098</v>
      </c>
      <c r="B1471">
        <v>0.63876009815969303</v>
      </c>
      <c r="C1471" s="17">
        <f t="shared" si="22"/>
        <v>46135</v>
      </c>
      <c r="D1471" s="17"/>
      <c r="J1471" s="2" t="s">
        <v>1626</v>
      </c>
    </row>
    <row r="1472" spans="1:10" x14ac:dyDescent="0.25">
      <c r="A1472" s="18" t="s">
        <v>501</v>
      </c>
      <c r="B1472">
        <v>0.63905760873535211</v>
      </c>
      <c r="C1472" s="17">
        <f t="shared" si="22"/>
        <v>46136</v>
      </c>
      <c r="D1472" s="17"/>
      <c r="J1472" s="2" t="s">
        <v>1627</v>
      </c>
    </row>
    <row r="1473" spans="1:10" x14ac:dyDescent="0.25">
      <c r="A1473" s="18" t="s">
        <v>973</v>
      </c>
      <c r="B1473">
        <v>0.63922276606748996</v>
      </c>
      <c r="C1473" s="17">
        <f t="shared" si="22"/>
        <v>46137</v>
      </c>
      <c r="D1473" s="17"/>
      <c r="J1473" s="2" t="s">
        <v>1628</v>
      </c>
    </row>
    <row r="1474" spans="1:10" x14ac:dyDescent="0.25">
      <c r="A1474" s="18" t="s">
        <v>735</v>
      </c>
      <c r="B1474">
        <v>0.63934463503196826</v>
      </c>
      <c r="C1474" s="17">
        <f t="shared" si="22"/>
        <v>46138</v>
      </c>
      <c r="D1474" s="17"/>
      <c r="J1474" s="2" t="s">
        <v>1629</v>
      </c>
    </row>
    <row r="1475" spans="1:10" x14ac:dyDescent="0.25">
      <c r="A1475" s="18" t="s">
        <v>257</v>
      </c>
      <c r="B1475">
        <v>0.639528657427193</v>
      </c>
      <c r="C1475" s="17">
        <f t="shared" si="22"/>
        <v>46139</v>
      </c>
      <c r="D1475" s="17"/>
      <c r="J1475" s="2" t="s">
        <v>1630</v>
      </c>
    </row>
    <row r="1476" spans="1:10" x14ac:dyDescent="0.25">
      <c r="A1476" s="18" t="s">
        <v>702</v>
      </c>
      <c r="B1476">
        <v>0.64012327819738468</v>
      </c>
      <c r="C1476" s="17">
        <f t="shared" ref="C1476:C1539" si="23">C1475+1</f>
        <v>46140</v>
      </c>
      <c r="D1476" s="17"/>
      <c r="J1476" s="2" t="s">
        <v>1631</v>
      </c>
    </row>
    <row r="1477" spans="1:10" x14ac:dyDescent="0.25">
      <c r="A1477" s="18" t="s">
        <v>2153</v>
      </c>
      <c r="B1477">
        <v>0.64016938942036106</v>
      </c>
      <c r="C1477" s="17">
        <f t="shared" si="23"/>
        <v>46141</v>
      </c>
      <c r="D1477" s="17"/>
      <c r="J1477" s="2" t="s">
        <v>1632</v>
      </c>
    </row>
    <row r="1478" spans="1:10" x14ac:dyDescent="0.25">
      <c r="A1478" s="18" t="s">
        <v>20</v>
      </c>
      <c r="B1478">
        <v>0.64020966668839863</v>
      </c>
      <c r="C1478" s="17">
        <f t="shared" si="23"/>
        <v>46142</v>
      </c>
      <c r="D1478" s="17"/>
      <c r="J1478" s="2" t="s">
        <v>1633</v>
      </c>
    </row>
    <row r="1479" spans="1:10" x14ac:dyDescent="0.25">
      <c r="A1479" s="18" t="s">
        <v>2075</v>
      </c>
      <c r="B1479">
        <v>0.64065676859755782</v>
      </c>
      <c r="C1479" s="17">
        <f t="shared" si="23"/>
        <v>46143</v>
      </c>
      <c r="D1479" s="17"/>
      <c r="J1479" s="2" t="s">
        <v>1634</v>
      </c>
    </row>
    <row r="1480" spans="1:10" x14ac:dyDescent="0.25">
      <c r="A1480" s="18" t="s">
        <v>1379</v>
      </c>
      <c r="B1480">
        <v>0.64114410343679729</v>
      </c>
      <c r="C1480" s="17">
        <f t="shared" si="23"/>
        <v>46144</v>
      </c>
      <c r="D1480" s="17"/>
      <c r="J1480" s="2" t="s">
        <v>1635</v>
      </c>
    </row>
    <row r="1481" spans="1:10" x14ac:dyDescent="0.25">
      <c r="A1481" s="18" t="s">
        <v>1838</v>
      </c>
      <c r="B1481">
        <v>0.64146723988931698</v>
      </c>
      <c r="C1481" s="17">
        <f t="shared" si="23"/>
        <v>46145</v>
      </c>
      <c r="D1481" s="17"/>
      <c r="J1481" s="2" t="s">
        <v>1636</v>
      </c>
    </row>
    <row r="1482" spans="1:10" x14ac:dyDescent="0.25">
      <c r="A1482" s="18" t="s">
        <v>1077</v>
      </c>
      <c r="B1482">
        <v>0.64177530975435193</v>
      </c>
      <c r="C1482" s="17">
        <f t="shared" si="23"/>
        <v>46146</v>
      </c>
      <c r="D1482" s="17"/>
      <c r="J1482" s="2" t="s">
        <v>1637</v>
      </c>
    </row>
    <row r="1483" spans="1:10" x14ac:dyDescent="0.25">
      <c r="A1483" s="18" t="s">
        <v>2288</v>
      </c>
      <c r="B1483">
        <v>0.64241181917188261</v>
      </c>
      <c r="C1483" s="17">
        <f t="shared" si="23"/>
        <v>46147</v>
      </c>
      <c r="D1483" s="17"/>
      <c r="J1483" s="2" t="s">
        <v>2</v>
      </c>
    </row>
    <row r="1484" spans="1:10" x14ac:dyDescent="0.25">
      <c r="A1484" s="18" t="s">
        <v>2104</v>
      </c>
      <c r="B1484">
        <v>0.64276166775188792</v>
      </c>
      <c r="C1484" s="17">
        <f t="shared" si="23"/>
        <v>46148</v>
      </c>
      <c r="D1484" s="17"/>
      <c r="J1484" s="2" t="s">
        <v>1638</v>
      </c>
    </row>
    <row r="1485" spans="1:10" x14ac:dyDescent="0.25">
      <c r="A1485" s="18" t="s">
        <v>2158</v>
      </c>
      <c r="B1485">
        <v>0.64285918943539022</v>
      </c>
      <c r="C1485" s="17">
        <f t="shared" si="23"/>
        <v>46149</v>
      </c>
      <c r="D1485" s="17"/>
      <c r="J1485" s="2" t="s">
        <v>1639</v>
      </c>
    </row>
    <row r="1486" spans="1:10" x14ac:dyDescent="0.25">
      <c r="A1486" s="18" t="s">
        <v>1862</v>
      </c>
      <c r="B1486">
        <v>0.64291712799727452</v>
      </c>
      <c r="C1486" s="17">
        <f t="shared" si="23"/>
        <v>46150</v>
      </c>
      <c r="D1486" s="17"/>
      <c r="J1486" s="2" t="s">
        <v>1640</v>
      </c>
    </row>
    <row r="1487" spans="1:10" x14ac:dyDescent="0.25">
      <c r="A1487" s="18" t="s">
        <v>1728</v>
      </c>
      <c r="B1487">
        <v>0.64334868163042291</v>
      </c>
      <c r="C1487" s="17">
        <f t="shared" si="23"/>
        <v>46151</v>
      </c>
      <c r="D1487" s="17"/>
      <c r="J1487" s="2" t="s">
        <v>1641</v>
      </c>
    </row>
    <row r="1488" spans="1:10" x14ac:dyDescent="0.25">
      <c r="A1488" s="18" t="s">
        <v>1199</v>
      </c>
      <c r="B1488">
        <v>0.64380362488776866</v>
      </c>
      <c r="C1488" s="17">
        <f t="shared" si="23"/>
        <v>46152</v>
      </c>
      <c r="D1488" s="17"/>
      <c r="J1488" s="2" t="s">
        <v>1642</v>
      </c>
    </row>
    <row r="1489" spans="1:10" x14ac:dyDescent="0.25">
      <c r="A1489" s="18" t="s">
        <v>77</v>
      </c>
      <c r="B1489">
        <v>0.64415139636506802</v>
      </c>
      <c r="C1489" s="17">
        <f t="shared" si="23"/>
        <v>46153</v>
      </c>
      <c r="D1489" s="17"/>
      <c r="J1489" s="2" t="s">
        <v>1643</v>
      </c>
    </row>
    <row r="1490" spans="1:10" x14ac:dyDescent="0.25">
      <c r="A1490" s="18" t="s">
        <v>2248</v>
      </c>
      <c r="B1490">
        <v>0.64473524913971203</v>
      </c>
      <c r="C1490" s="17">
        <f t="shared" si="23"/>
        <v>46154</v>
      </c>
      <c r="D1490" s="17"/>
      <c r="J1490" s="2" t="s">
        <v>1644</v>
      </c>
    </row>
    <row r="1491" spans="1:10" x14ac:dyDescent="0.25">
      <c r="A1491" s="18" t="s">
        <v>178</v>
      </c>
      <c r="B1491">
        <v>0.64537119157310197</v>
      </c>
      <c r="C1491" s="17">
        <f t="shared" si="23"/>
        <v>46155</v>
      </c>
      <c r="D1491" s="17"/>
      <c r="J1491" s="2" t="s">
        <v>1645</v>
      </c>
    </row>
    <row r="1492" spans="1:10" x14ac:dyDescent="0.25">
      <c r="A1492" s="18" t="s">
        <v>1295</v>
      </c>
      <c r="B1492">
        <v>0.64617023983860722</v>
      </c>
      <c r="C1492" s="17">
        <f t="shared" si="23"/>
        <v>46156</v>
      </c>
      <c r="D1492" s="17"/>
      <c r="J1492" s="2" t="s">
        <v>1646</v>
      </c>
    </row>
    <row r="1493" spans="1:10" x14ac:dyDescent="0.25">
      <c r="A1493" s="18" t="s">
        <v>1781</v>
      </c>
      <c r="B1493">
        <v>0.64635763771844557</v>
      </c>
      <c r="C1493" s="17">
        <f t="shared" si="23"/>
        <v>46157</v>
      </c>
      <c r="D1493" s="17"/>
      <c r="J1493" s="2" t="s">
        <v>1647</v>
      </c>
    </row>
    <row r="1494" spans="1:10" x14ac:dyDescent="0.25">
      <c r="A1494" s="18" t="s">
        <v>465</v>
      </c>
      <c r="B1494">
        <v>0.64692360795732728</v>
      </c>
      <c r="C1494" s="17">
        <f t="shared" si="23"/>
        <v>46158</v>
      </c>
      <c r="D1494" s="17"/>
      <c r="J1494" s="2" t="s">
        <v>1648</v>
      </c>
    </row>
    <row r="1495" spans="1:10" x14ac:dyDescent="0.25">
      <c r="A1495" s="18" t="s">
        <v>1681</v>
      </c>
      <c r="B1495">
        <v>0.64692905240679088</v>
      </c>
      <c r="C1495" s="17">
        <f t="shared" si="23"/>
        <v>46159</v>
      </c>
      <c r="D1495" s="17"/>
      <c r="J1495" s="2" t="s">
        <v>1649</v>
      </c>
    </row>
    <row r="1496" spans="1:10" x14ac:dyDescent="0.25">
      <c r="A1496" s="18" t="s">
        <v>2307</v>
      </c>
      <c r="B1496">
        <v>0.64726871014962306</v>
      </c>
      <c r="C1496" s="17">
        <f t="shared" si="23"/>
        <v>46160</v>
      </c>
      <c r="D1496" s="17"/>
      <c r="J1496" s="2" t="s">
        <v>1650</v>
      </c>
    </row>
    <row r="1497" spans="1:10" x14ac:dyDescent="0.25">
      <c r="A1497" s="18" t="s">
        <v>1581</v>
      </c>
      <c r="B1497">
        <v>0.64745110800004468</v>
      </c>
      <c r="C1497" s="17">
        <f t="shared" si="23"/>
        <v>46161</v>
      </c>
      <c r="D1497" s="17"/>
      <c r="J1497" s="2" t="s">
        <v>336</v>
      </c>
    </row>
    <row r="1498" spans="1:10" x14ac:dyDescent="0.25">
      <c r="A1498" s="18" t="s">
        <v>1133</v>
      </c>
      <c r="B1498">
        <v>0.64761742606358097</v>
      </c>
      <c r="C1498" s="17">
        <f t="shared" si="23"/>
        <v>46162</v>
      </c>
      <c r="D1498" s="17"/>
      <c r="J1498" s="2" t="s">
        <v>1651</v>
      </c>
    </row>
    <row r="1499" spans="1:10" x14ac:dyDescent="0.25">
      <c r="A1499" s="18" t="s">
        <v>557</v>
      </c>
      <c r="B1499">
        <v>0.64762734390325383</v>
      </c>
      <c r="C1499" s="17">
        <f t="shared" si="23"/>
        <v>46163</v>
      </c>
      <c r="D1499" s="17"/>
      <c r="J1499" s="2" t="s">
        <v>1652</v>
      </c>
    </row>
    <row r="1500" spans="1:10" x14ac:dyDescent="0.25">
      <c r="A1500" s="18" t="s">
        <v>72</v>
      </c>
      <c r="B1500">
        <v>0.64794852859970198</v>
      </c>
      <c r="C1500" s="17">
        <f t="shared" si="23"/>
        <v>46164</v>
      </c>
      <c r="D1500" s="17"/>
      <c r="J1500" s="2" t="s">
        <v>1653</v>
      </c>
    </row>
    <row r="1501" spans="1:10" x14ac:dyDescent="0.25">
      <c r="A1501" s="18" t="s">
        <v>1321</v>
      </c>
      <c r="B1501">
        <v>0.64800208733382214</v>
      </c>
      <c r="C1501" s="17">
        <f t="shared" si="23"/>
        <v>46165</v>
      </c>
      <c r="D1501" s="17"/>
      <c r="J1501" s="2" t="s">
        <v>1654</v>
      </c>
    </row>
    <row r="1502" spans="1:10" x14ac:dyDescent="0.25">
      <c r="A1502" s="18" t="s">
        <v>1387</v>
      </c>
      <c r="B1502">
        <v>0.64816324749040644</v>
      </c>
      <c r="C1502" s="17">
        <f t="shared" si="23"/>
        <v>46166</v>
      </c>
      <c r="D1502" s="17"/>
      <c r="J1502" s="2" t="s">
        <v>1655</v>
      </c>
    </row>
    <row r="1503" spans="1:10" x14ac:dyDescent="0.25">
      <c r="A1503" s="18" t="s">
        <v>801</v>
      </c>
      <c r="B1503">
        <v>0.64827335186079138</v>
      </c>
      <c r="C1503" s="17">
        <f t="shared" si="23"/>
        <v>46167</v>
      </c>
      <c r="D1503" s="17"/>
      <c r="J1503" s="2" t="s">
        <v>1656</v>
      </c>
    </row>
    <row r="1504" spans="1:10" x14ac:dyDescent="0.25">
      <c r="A1504" s="18" t="s">
        <v>1271</v>
      </c>
      <c r="B1504">
        <v>0.64849618971978973</v>
      </c>
      <c r="C1504" s="17">
        <f t="shared" si="23"/>
        <v>46168</v>
      </c>
      <c r="D1504" s="17"/>
      <c r="J1504" s="2" t="s">
        <v>46</v>
      </c>
    </row>
    <row r="1505" spans="1:10" x14ac:dyDescent="0.25">
      <c r="A1505" s="18" t="s">
        <v>1537</v>
      </c>
      <c r="B1505">
        <v>0.64882778465972923</v>
      </c>
      <c r="C1505" s="17">
        <f t="shared" si="23"/>
        <v>46169</v>
      </c>
      <c r="D1505" s="17"/>
      <c r="J1505" s="2" t="s">
        <v>1657</v>
      </c>
    </row>
    <row r="1506" spans="1:10" x14ac:dyDescent="0.25">
      <c r="A1506" s="18" t="s">
        <v>1505</v>
      </c>
      <c r="B1506">
        <v>0.6489050583874667</v>
      </c>
      <c r="C1506" s="17">
        <f t="shared" si="23"/>
        <v>46170</v>
      </c>
      <c r="D1506" s="17"/>
      <c r="J1506" s="2" t="s">
        <v>125</v>
      </c>
    </row>
    <row r="1507" spans="1:10" x14ac:dyDescent="0.25">
      <c r="A1507" s="18" t="s">
        <v>1552</v>
      </c>
      <c r="B1507">
        <v>0.64903286990229236</v>
      </c>
      <c r="C1507" s="17">
        <f t="shared" si="23"/>
        <v>46171</v>
      </c>
      <c r="D1507" s="17"/>
      <c r="J1507" s="2" t="s">
        <v>9</v>
      </c>
    </row>
    <row r="1508" spans="1:10" x14ac:dyDescent="0.25">
      <c r="A1508" s="18" t="s">
        <v>1288</v>
      </c>
      <c r="B1508">
        <v>0.64926018046202194</v>
      </c>
      <c r="C1508" s="17">
        <f t="shared" si="23"/>
        <v>46172</v>
      </c>
      <c r="D1508" s="17"/>
      <c r="J1508" s="2" t="s">
        <v>1658</v>
      </c>
    </row>
    <row r="1509" spans="1:10" x14ac:dyDescent="0.25">
      <c r="A1509" s="18" t="s">
        <v>1569</v>
      </c>
      <c r="B1509">
        <v>0.64971125404728691</v>
      </c>
      <c r="C1509" s="17">
        <f t="shared" si="23"/>
        <v>46173</v>
      </c>
      <c r="D1509" s="17"/>
      <c r="J1509" s="2" t="s">
        <v>1659</v>
      </c>
    </row>
    <row r="1510" spans="1:10" x14ac:dyDescent="0.25">
      <c r="A1510" s="18" t="s">
        <v>539</v>
      </c>
      <c r="B1510">
        <v>0.65111430516783497</v>
      </c>
      <c r="C1510" s="17">
        <f t="shared" si="23"/>
        <v>46174</v>
      </c>
      <c r="D1510" s="17"/>
      <c r="J1510" s="2" t="s">
        <v>18</v>
      </c>
    </row>
    <row r="1511" spans="1:10" x14ac:dyDescent="0.25">
      <c r="A1511" s="18" t="s">
        <v>579</v>
      </c>
      <c r="B1511">
        <v>0.65181511826334915</v>
      </c>
      <c r="C1511" s="17">
        <f t="shared" si="23"/>
        <v>46175</v>
      </c>
      <c r="D1511" s="17"/>
      <c r="J1511" s="2" t="s">
        <v>1660</v>
      </c>
    </row>
    <row r="1512" spans="1:10" x14ac:dyDescent="0.25">
      <c r="A1512" s="18" t="s">
        <v>1988</v>
      </c>
      <c r="B1512">
        <v>0.65195227785620347</v>
      </c>
      <c r="C1512" s="17">
        <f t="shared" si="23"/>
        <v>46176</v>
      </c>
      <c r="D1512" s="17"/>
      <c r="J1512" s="2" t="s">
        <v>1661</v>
      </c>
    </row>
    <row r="1513" spans="1:10" x14ac:dyDescent="0.25">
      <c r="A1513" s="18" t="s">
        <v>1697</v>
      </c>
      <c r="B1513">
        <v>0.65216446369889636</v>
      </c>
      <c r="C1513" s="17">
        <f t="shared" si="23"/>
        <v>46177</v>
      </c>
      <c r="D1513" s="17"/>
      <c r="J1513" s="2" t="s">
        <v>1662</v>
      </c>
    </row>
    <row r="1514" spans="1:10" x14ac:dyDescent="0.25">
      <c r="A1514" s="18" t="s">
        <v>13</v>
      </c>
      <c r="B1514">
        <v>0.65259377273765296</v>
      </c>
      <c r="C1514" s="17">
        <f t="shared" si="23"/>
        <v>46178</v>
      </c>
      <c r="D1514" s="17"/>
      <c r="J1514" s="2" t="s">
        <v>1663</v>
      </c>
    </row>
    <row r="1515" spans="1:10" x14ac:dyDescent="0.25">
      <c r="A1515" s="18" t="s">
        <v>1699</v>
      </c>
      <c r="B1515">
        <v>0.65283644583130174</v>
      </c>
      <c r="C1515" s="17">
        <f t="shared" si="23"/>
        <v>46179</v>
      </c>
      <c r="D1515" s="17"/>
      <c r="J1515" s="2" t="s">
        <v>1664</v>
      </c>
    </row>
    <row r="1516" spans="1:10" x14ac:dyDescent="0.25">
      <c r="A1516" s="18" t="s">
        <v>1575</v>
      </c>
      <c r="B1516">
        <v>0.65292789133238704</v>
      </c>
      <c r="C1516" s="17">
        <f t="shared" si="23"/>
        <v>46180</v>
      </c>
      <c r="D1516" s="17"/>
      <c r="J1516" s="2" t="s">
        <v>1665</v>
      </c>
    </row>
    <row r="1517" spans="1:10" x14ac:dyDescent="0.25">
      <c r="A1517" s="18" t="s">
        <v>1492</v>
      </c>
      <c r="B1517">
        <v>0.65340757978626507</v>
      </c>
      <c r="C1517" s="17">
        <f t="shared" si="23"/>
        <v>46181</v>
      </c>
      <c r="D1517" s="17"/>
      <c r="J1517" s="2" t="s">
        <v>1666</v>
      </c>
    </row>
    <row r="1518" spans="1:10" x14ac:dyDescent="0.25">
      <c r="A1518" s="18" t="s">
        <v>339</v>
      </c>
      <c r="B1518">
        <v>0.65382404838245589</v>
      </c>
      <c r="C1518" s="17">
        <f t="shared" si="23"/>
        <v>46182</v>
      </c>
      <c r="D1518" s="17"/>
      <c r="J1518" s="2" t="s">
        <v>1667</v>
      </c>
    </row>
    <row r="1519" spans="1:10" x14ac:dyDescent="0.25">
      <c r="A1519" s="18" t="s">
        <v>145</v>
      </c>
      <c r="B1519">
        <v>0.65467676159029631</v>
      </c>
      <c r="C1519" s="17">
        <f t="shared" si="23"/>
        <v>46183</v>
      </c>
      <c r="D1519" s="17"/>
      <c r="J1519" s="2" t="s">
        <v>1668</v>
      </c>
    </row>
    <row r="1520" spans="1:10" x14ac:dyDescent="0.25">
      <c r="A1520" s="18" t="s">
        <v>2297</v>
      </c>
      <c r="B1520">
        <v>0.65475267897429479</v>
      </c>
      <c r="C1520" s="17">
        <f t="shared" si="23"/>
        <v>46184</v>
      </c>
      <c r="D1520" s="17"/>
      <c r="J1520" s="2" t="s">
        <v>1669</v>
      </c>
    </row>
    <row r="1521" spans="1:10" x14ac:dyDescent="0.25">
      <c r="A1521" s="18" t="s">
        <v>107</v>
      </c>
      <c r="B1521">
        <v>0.65538085974171378</v>
      </c>
      <c r="C1521" s="17">
        <f t="shared" si="23"/>
        <v>46185</v>
      </c>
      <c r="D1521" s="17"/>
      <c r="J1521" s="2" t="s">
        <v>401</v>
      </c>
    </row>
    <row r="1522" spans="1:10" x14ac:dyDescent="0.25">
      <c r="A1522" s="18" t="s">
        <v>886</v>
      </c>
      <c r="B1522">
        <v>0.65572920485944886</v>
      </c>
      <c r="C1522" s="17">
        <f t="shared" si="23"/>
        <v>46186</v>
      </c>
      <c r="D1522" s="17"/>
      <c r="J1522" s="2" t="s">
        <v>1670</v>
      </c>
    </row>
    <row r="1523" spans="1:10" x14ac:dyDescent="0.25">
      <c r="A1523" s="18" t="s">
        <v>706</v>
      </c>
      <c r="B1523">
        <v>0.65595324247758324</v>
      </c>
      <c r="C1523" s="17">
        <f t="shared" si="23"/>
        <v>46187</v>
      </c>
      <c r="D1523" s="17"/>
      <c r="J1523" s="2" t="s">
        <v>1671</v>
      </c>
    </row>
    <row r="1524" spans="1:10" x14ac:dyDescent="0.25">
      <c r="A1524" s="18" t="s">
        <v>989</v>
      </c>
      <c r="B1524">
        <v>0.65601715141264016</v>
      </c>
      <c r="C1524" s="17">
        <f t="shared" si="23"/>
        <v>46188</v>
      </c>
      <c r="D1524" s="17"/>
      <c r="J1524" s="2" t="s">
        <v>1672</v>
      </c>
    </row>
    <row r="1525" spans="1:10" x14ac:dyDescent="0.25">
      <c r="A1525" s="18" t="s">
        <v>638</v>
      </c>
      <c r="B1525">
        <v>0.65607866991922437</v>
      </c>
      <c r="C1525" s="17">
        <f t="shared" si="23"/>
        <v>46189</v>
      </c>
      <c r="D1525" s="17"/>
      <c r="J1525" s="2" t="s">
        <v>1673</v>
      </c>
    </row>
    <row r="1526" spans="1:10" x14ac:dyDescent="0.25">
      <c r="A1526" s="18" t="s">
        <v>1277</v>
      </c>
      <c r="B1526">
        <v>0.65626915306646982</v>
      </c>
      <c r="C1526" s="17">
        <f t="shared" si="23"/>
        <v>46190</v>
      </c>
      <c r="D1526" s="17"/>
      <c r="J1526" s="2" t="s">
        <v>1674</v>
      </c>
    </row>
    <row r="1527" spans="1:10" x14ac:dyDescent="0.25">
      <c r="A1527" s="18" t="s">
        <v>234</v>
      </c>
      <c r="B1527">
        <v>0.65696277313202456</v>
      </c>
      <c r="C1527" s="17">
        <f t="shared" si="23"/>
        <v>46191</v>
      </c>
      <c r="D1527" s="17"/>
      <c r="J1527" s="2" t="s">
        <v>1675</v>
      </c>
    </row>
    <row r="1528" spans="1:10" x14ac:dyDescent="0.25">
      <c r="A1528" s="18" t="s">
        <v>2306</v>
      </c>
      <c r="B1528">
        <v>0.65765042299828846</v>
      </c>
      <c r="C1528" s="17">
        <f t="shared" si="23"/>
        <v>46192</v>
      </c>
      <c r="D1528" s="17"/>
      <c r="J1528" s="2" t="s">
        <v>1676</v>
      </c>
    </row>
    <row r="1529" spans="1:10" x14ac:dyDescent="0.25">
      <c r="A1529" s="18" t="s">
        <v>690</v>
      </c>
      <c r="B1529">
        <v>0.65768602256458886</v>
      </c>
      <c r="C1529" s="17">
        <f t="shared" si="23"/>
        <v>46193</v>
      </c>
      <c r="D1529" s="17"/>
      <c r="J1529" s="2" t="s">
        <v>1677</v>
      </c>
    </row>
    <row r="1530" spans="1:10" x14ac:dyDescent="0.25">
      <c r="A1530" s="18" t="s">
        <v>817</v>
      </c>
      <c r="B1530">
        <v>0.65773604504910077</v>
      </c>
      <c r="C1530" s="17">
        <f t="shared" si="23"/>
        <v>46194</v>
      </c>
      <c r="D1530" s="17"/>
      <c r="J1530" s="2" t="s">
        <v>1678</v>
      </c>
    </row>
    <row r="1531" spans="1:10" x14ac:dyDescent="0.25">
      <c r="A1531" s="18" t="s">
        <v>209</v>
      </c>
      <c r="B1531">
        <v>0.65860684263592872</v>
      </c>
      <c r="C1531" s="17">
        <f t="shared" si="23"/>
        <v>46195</v>
      </c>
      <c r="D1531" s="17"/>
      <c r="J1531" s="2" t="s">
        <v>1679</v>
      </c>
    </row>
    <row r="1532" spans="1:10" x14ac:dyDescent="0.25">
      <c r="A1532" s="18" t="s">
        <v>401</v>
      </c>
      <c r="B1532">
        <v>0.65863381088979478</v>
      </c>
      <c r="C1532" s="17">
        <f t="shared" si="23"/>
        <v>46196</v>
      </c>
      <c r="D1532" s="17"/>
      <c r="J1532" s="2" t="s">
        <v>1680</v>
      </c>
    </row>
    <row r="1533" spans="1:10" x14ac:dyDescent="0.25">
      <c r="A1533" s="18" t="s">
        <v>1393</v>
      </c>
      <c r="B1533">
        <v>0.65863980385418763</v>
      </c>
      <c r="C1533" s="17">
        <f t="shared" si="23"/>
        <v>46197</v>
      </c>
      <c r="D1533" s="17"/>
      <c r="J1533" s="2" t="s">
        <v>1681</v>
      </c>
    </row>
    <row r="1534" spans="1:10" x14ac:dyDescent="0.25">
      <c r="A1534" s="18" t="s">
        <v>2189</v>
      </c>
      <c r="B1534">
        <v>0.6588497093692226</v>
      </c>
      <c r="C1534" s="17">
        <f t="shared" si="23"/>
        <v>46198</v>
      </c>
      <c r="D1534" s="17"/>
      <c r="J1534" s="2" t="s">
        <v>1682</v>
      </c>
    </row>
    <row r="1535" spans="1:10" x14ac:dyDescent="0.25">
      <c r="A1535" s="18" t="s">
        <v>1442</v>
      </c>
      <c r="B1535">
        <v>0.65911466835088539</v>
      </c>
      <c r="C1535" s="17">
        <f t="shared" si="23"/>
        <v>46199</v>
      </c>
      <c r="D1535" s="17"/>
      <c r="J1535" s="2" t="s">
        <v>1683</v>
      </c>
    </row>
    <row r="1536" spans="1:10" x14ac:dyDescent="0.25">
      <c r="A1536" s="18" t="s">
        <v>258</v>
      </c>
      <c r="B1536">
        <v>0.65919230294766407</v>
      </c>
      <c r="C1536" s="17">
        <f t="shared" si="23"/>
        <v>46200</v>
      </c>
      <c r="D1536" s="17"/>
      <c r="J1536" s="2" t="s">
        <v>1684</v>
      </c>
    </row>
    <row r="1537" spans="1:10" x14ac:dyDescent="0.25">
      <c r="A1537" s="18" t="s">
        <v>1714</v>
      </c>
      <c r="B1537">
        <v>0.65999657686420399</v>
      </c>
      <c r="C1537" s="17">
        <f t="shared" si="23"/>
        <v>46201</v>
      </c>
      <c r="D1537" s="17"/>
      <c r="J1537" s="2" t="s">
        <v>199</v>
      </c>
    </row>
    <row r="1538" spans="1:10" x14ac:dyDescent="0.25">
      <c r="A1538" s="18" t="s">
        <v>1312</v>
      </c>
      <c r="B1538">
        <v>0.66006368668113069</v>
      </c>
      <c r="C1538" s="17">
        <f t="shared" si="23"/>
        <v>46202</v>
      </c>
      <c r="D1538" s="17"/>
      <c r="J1538" s="2" t="s">
        <v>1685</v>
      </c>
    </row>
    <row r="1539" spans="1:10" x14ac:dyDescent="0.25">
      <c r="A1539" s="18" t="s">
        <v>513</v>
      </c>
      <c r="B1539">
        <v>0.66014035391050596</v>
      </c>
      <c r="C1539" s="17">
        <f t="shared" si="23"/>
        <v>46203</v>
      </c>
      <c r="D1539" s="17"/>
      <c r="J1539" s="2" t="s">
        <v>1686</v>
      </c>
    </row>
    <row r="1540" spans="1:10" x14ac:dyDescent="0.25">
      <c r="A1540" s="18" t="s">
        <v>1727</v>
      </c>
      <c r="B1540">
        <v>0.66025867031635255</v>
      </c>
      <c r="C1540" s="17">
        <f t="shared" ref="C1540:C1603" si="24">C1539+1</f>
        <v>46204</v>
      </c>
      <c r="D1540" s="17"/>
      <c r="J1540" s="2" t="s">
        <v>184</v>
      </c>
    </row>
    <row r="1541" spans="1:10" x14ac:dyDescent="0.25">
      <c r="A1541" s="18" t="s">
        <v>759</v>
      </c>
      <c r="B1541">
        <v>0.66027703129223969</v>
      </c>
      <c r="C1541" s="17">
        <f t="shared" si="24"/>
        <v>46205</v>
      </c>
      <c r="D1541" s="17"/>
      <c r="J1541" s="2" t="s">
        <v>1687</v>
      </c>
    </row>
    <row r="1542" spans="1:10" x14ac:dyDescent="0.25">
      <c r="A1542" s="18" t="s">
        <v>932</v>
      </c>
      <c r="B1542">
        <v>0.66131867765735386</v>
      </c>
      <c r="C1542" s="17">
        <f t="shared" si="24"/>
        <v>46206</v>
      </c>
      <c r="D1542" s="17"/>
      <c r="J1542" s="2" t="s">
        <v>1688</v>
      </c>
    </row>
    <row r="1543" spans="1:10" x14ac:dyDescent="0.25">
      <c r="A1543" s="18" t="s">
        <v>575</v>
      </c>
      <c r="B1543">
        <v>0.66197149043470338</v>
      </c>
      <c r="C1543" s="17">
        <f t="shared" si="24"/>
        <v>46207</v>
      </c>
      <c r="D1543" s="17"/>
      <c r="J1543" s="2" t="s">
        <v>1689</v>
      </c>
    </row>
    <row r="1544" spans="1:10" x14ac:dyDescent="0.25">
      <c r="A1544" s="18" t="s">
        <v>870</v>
      </c>
      <c r="B1544">
        <v>0.66262814194856856</v>
      </c>
      <c r="C1544" s="17">
        <f t="shared" si="24"/>
        <v>46208</v>
      </c>
      <c r="D1544" s="17"/>
      <c r="J1544" s="2" t="s">
        <v>1690</v>
      </c>
    </row>
    <row r="1545" spans="1:10" x14ac:dyDescent="0.25">
      <c r="A1545" s="18" t="s">
        <v>736</v>
      </c>
      <c r="B1545">
        <v>0.6628328726020567</v>
      </c>
      <c r="C1545" s="17">
        <f t="shared" si="24"/>
        <v>46209</v>
      </c>
      <c r="D1545" s="17"/>
      <c r="J1545" s="2" t="s">
        <v>1691</v>
      </c>
    </row>
    <row r="1546" spans="1:10" x14ac:dyDescent="0.25">
      <c r="A1546" s="18" t="s">
        <v>1616</v>
      </c>
      <c r="B1546">
        <v>0.66324072955544422</v>
      </c>
      <c r="C1546" s="17">
        <f t="shared" si="24"/>
        <v>46210</v>
      </c>
      <c r="D1546" s="17"/>
      <c r="J1546" s="2" t="s">
        <v>1692</v>
      </c>
    </row>
    <row r="1547" spans="1:10" x14ac:dyDescent="0.25">
      <c r="A1547" s="18" t="s">
        <v>2002</v>
      </c>
      <c r="B1547">
        <v>0.66425469503321299</v>
      </c>
      <c r="C1547" s="17">
        <f t="shared" si="24"/>
        <v>46211</v>
      </c>
      <c r="D1547" s="17"/>
      <c r="J1547" s="2" t="s">
        <v>1693</v>
      </c>
    </row>
    <row r="1548" spans="1:10" x14ac:dyDescent="0.25">
      <c r="A1548" s="18" t="s">
        <v>1341</v>
      </c>
      <c r="B1548">
        <v>0.66493389576125073</v>
      </c>
      <c r="C1548" s="17">
        <f t="shared" si="24"/>
        <v>46212</v>
      </c>
      <c r="D1548" s="17"/>
      <c r="J1548" s="2" t="s">
        <v>1694</v>
      </c>
    </row>
    <row r="1549" spans="1:10" x14ac:dyDescent="0.25">
      <c r="A1549" s="18" t="s">
        <v>287</v>
      </c>
      <c r="B1549">
        <v>0.66549432109992046</v>
      </c>
      <c r="C1549" s="17">
        <f t="shared" si="24"/>
        <v>46213</v>
      </c>
      <c r="D1549" s="17"/>
      <c r="J1549" s="2" t="s">
        <v>1695</v>
      </c>
    </row>
    <row r="1550" spans="1:10" x14ac:dyDescent="0.25">
      <c r="A1550" s="18" t="s">
        <v>1385</v>
      </c>
      <c r="B1550">
        <v>0.66598625090815522</v>
      </c>
      <c r="C1550" s="17">
        <f t="shared" si="24"/>
        <v>46214</v>
      </c>
      <c r="D1550" s="17"/>
      <c r="J1550" s="2" t="s">
        <v>1696</v>
      </c>
    </row>
    <row r="1551" spans="1:10" x14ac:dyDescent="0.25">
      <c r="A1551" s="18" t="s">
        <v>1881</v>
      </c>
      <c r="B1551">
        <v>0.66643779493455602</v>
      </c>
      <c r="C1551" s="17">
        <f t="shared" si="24"/>
        <v>46215</v>
      </c>
      <c r="D1551" s="17"/>
      <c r="J1551" s="2" t="s">
        <v>1697</v>
      </c>
    </row>
    <row r="1552" spans="1:10" x14ac:dyDescent="0.25">
      <c r="A1552" s="18" t="s">
        <v>1971</v>
      </c>
      <c r="B1552">
        <v>0.66662692747320151</v>
      </c>
      <c r="C1552" s="17">
        <f t="shared" si="24"/>
        <v>46216</v>
      </c>
      <c r="D1552" s="17"/>
      <c r="J1552" s="2" t="s">
        <v>1698</v>
      </c>
    </row>
    <row r="1553" spans="1:10" x14ac:dyDescent="0.25">
      <c r="A1553" s="18" t="s">
        <v>1627</v>
      </c>
      <c r="B1553">
        <v>0.66675768938919844</v>
      </c>
      <c r="C1553" s="17">
        <f t="shared" si="24"/>
        <v>46217</v>
      </c>
      <c r="D1553" s="17"/>
      <c r="J1553" s="2" t="s">
        <v>1699</v>
      </c>
    </row>
    <row r="1554" spans="1:10" x14ac:dyDescent="0.25">
      <c r="A1554" s="18" t="s">
        <v>1805</v>
      </c>
      <c r="B1554">
        <v>0.66777249664180405</v>
      </c>
      <c r="C1554" s="17">
        <f t="shared" si="24"/>
        <v>46218</v>
      </c>
      <c r="D1554" s="17"/>
      <c r="J1554" s="2" t="s">
        <v>1700</v>
      </c>
    </row>
    <row r="1555" spans="1:10" x14ac:dyDescent="0.25">
      <c r="A1555" s="18" t="s">
        <v>1351</v>
      </c>
      <c r="B1555">
        <v>0.66822600022554079</v>
      </c>
      <c r="C1555" s="17">
        <f t="shared" si="24"/>
        <v>46219</v>
      </c>
      <c r="D1555" s="17"/>
      <c r="J1555" s="2" t="s">
        <v>1701</v>
      </c>
    </row>
    <row r="1556" spans="1:10" x14ac:dyDescent="0.25">
      <c r="A1556" s="18" t="s">
        <v>1403</v>
      </c>
      <c r="B1556">
        <v>0.66854816229637504</v>
      </c>
      <c r="C1556" s="17">
        <f t="shared" si="24"/>
        <v>46220</v>
      </c>
      <c r="D1556" s="17"/>
      <c r="J1556" s="2" t="s">
        <v>1702</v>
      </c>
    </row>
    <row r="1557" spans="1:10" x14ac:dyDescent="0.25">
      <c r="A1557" s="18" t="s">
        <v>856</v>
      </c>
      <c r="B1557">
        <v>0.66893160343931024</v>
      </c>
      <c r="C1557" s="17">
        <f t="shared" si="24"/>
        <v>46221</v>
      </c>
      <c r="D1557" s="17"/>
      <c r="J1557" s="2" t="s">
        <v>1703</v>
      </c>
    </row>
    <row r="1558" spans="1:10" x14ac:dyDescent="0.25">
      <c r="A1558" s="18" t="s">
        <v>419</v>
      </c>
      <c r="B1558">
        <v>0.66930492920133122</v>
      </c>
      <c r="C1558" s="17">
        <f t="shared" si="24"/>
        <v>46222</v>
      </c>
      <c r="D1558" s="17"/>
      <c r="J1558" s="2" t="s">
        <v>1704</v>
      </c>
    </row>
    <row r="1559" spans="1:10" x14ac:dyDescent="0.25">
      <c r="A1559" s="18" t="s">
        <v>700</v>
      </c>
      <c r="B1559">
        <v>0.66954158359317339</v>
      </c>
      <c r="C1559" s="17">
        <f t="shared" si="24"/>
        <v>46223</v>
      </c>
      <c r="D1559" s="17"/>
      <c r="J1559" s="2" t="s">
        <v>1705</v>
      </c>
    </row>
    <row r="1560" spans="1:10" x14ac:dyDescent="0.25">
      <c r="A1560" s="18" t="s">
        <v>1664</v>
      </c>
      <c r="B1560">
        <v>0.66983407230962222</v>
      </c>
      <c r="C1560" s="17">
        <f t="shared" si="24"/>
        <v>46224</v>
      </c>
      <c r="D1560" s="17"/>
      <c r="J1560" s="2" t="s">
        <v>1706</v>
      </c>
    </row>
    <row r="1561" spans="1:10" x14ac:dyDescent="0.25">
      <c r="A1561" s="18" t="s">
        <v>743</v>
      </c>
      <c r="B1561">
        <v>0.67036983004115169</v>
      </c>
      <c r="C1561" s="17">
        <f t="shared" si="24"/>
        <v>46225</v>
      </c>
      <c r="D1561" s="17"/>
      <c r="J1561" s="2" t="s">
        <v>394</v>
      </c>
    </row>
    <row r="1562" spans="1:10" x14ac:dyDescent="0.25">
      <c r="A1562" s="18" t="s">
        <v>1213</v>
      </c>
      <c r="B1562">
        <v>0.67053269153566908</v>
      </c>
      <c r="C1562" s="17">
        <f t="shared" si="24"/>
        <v>46226</v>
      </c>
      <c r="D1562" s="17"/>
      <c r="J1562" s="2" t="s">
        <v>1707</v>
      </c>
    </row>
    <row r="1563" spans="1:10" x14ac:dyDescent="0.25">
      <c r="A1563" s="18" t="s">
        <v>1544</v>
      </c>
      <c r="B1563">
        <v>0.67100010287080003</v>
      </c>
      <c r="C1563" s="17">
        <f t="shared" si="24"/>
        <v>46227</v>
      </c>
      <c r="D1563" s="17"/>
      <c r="J1563" s="2" t="s">
        <v>466</v>
      </c>
    </row>
    <row r="1564" spans="1:10" x14ac:dyDescent="0.25">
      <c r="A1564" s="18" t="s">
        <v>1812</v>
      </c>
      <c r="B1564">
        <v>0.67115231347463145</v>
      </c>
      <c r="C1564" s="17">
        <f t="shared" si="24"/>
        <v>46228</v>
      </c>
      <c r="D1564" s="17"/>
      <c r="J1564" s="2" t="s">
        <v>1708</v>
      </c>
    </row>
    <row r="1565" spans="1:10" x14ac:dyDescent="0.25">
      <c r="A1565" s="18" t="s">
        <v>1092</v>
      </c>
      <c r="B1565">
        <v>0.67144447015232367</v>
      </c>
      <c r="C1565" s="17">
        <f t="shared" si="24"/>
        <v>46229</v>
      </c>
      <c r="D1565" s="17"/>
      <c r="J1565" s="2" t="s">
        <v>1709</v>
      </c>
    </row>
    <row r="1566" spans="1:10" x14ac:dyDescent="0.25">
      <c r="A1566" s="18" t="s">
        <v>1935</v>
      </c>
      <c r="B1566">
        <v>0.67207400409139995</v>
      </c>
      <c r="C1566" s="17">
        <f t="shared" si="24"/>
        <v>46230</v>
      </c>
      <c r="D1566" s="17"/>
      <c r="J1566" s="2" t="s">
        <v>1710</v>
      </c>
    </row>
    <row r="1567" spans="1:10" x14ac:dyDescent="0.25">
      <c r="A1567" s="18" t="s">
        <v>453</v>
      </c>
      <c r="B1567">
        <v>0.67409178943305592</v>
      </c>
      <c r="C1567" s="17">
        <f t="shared" si="24"/>
        <v>46231</v>
      </c>
      <c r="D1567" s="17"/>
      <c r="J1567" s="2" t="s">
        <v>1711</v>
      </c>
    </row>
    <row r="1568" spans="1:10" x14ac:dyDescent="0.25">
      <c r="A1568" s="18" t="s">
        <v>2045</v>
      </c>
      <c r="B1568">
        <v>0.67409458083016061</v>
      </c>
      <c r="C1568" s="17">
        <f t="shared" si="24"/>
        <v>46232</v>
      </c>
      <c r="D1568" s="17"/>
      <c r="J1568" s="2" t="s">
        <v>1712</v>
      </c>
    </row>
    <row r="1569" spans="1:10" x14ac:dyDescent="0.25">
      <c r="A1569" s="18" t="s">
        <v>1766</v>
      </c>
      <c r="B1569">
        <v>0.67418854577987009</v>
      </c>
      <c r="C1569" s="17">
        <f t="shared" si="24"/>
        <v>46233</v>
      </c>
      <c r="D1569" s="17"/>
      <c r="J1569" s="2" t="s">
        <v>457</v>
      </c>
    </row>
    <row r="1570" spans="1:10" x14ac:dyDescent="0.25">
      <c r="A1570" s="18" t="s">
        <v>1926</v>
      </c>
      <c r="B1570">
        <v>0.67466081042684767</v>
      </c>
      <c r="C1570" s="17">
        <f t="shared" si="24"/>
        <v>46234</v>
      </c>
      <c r="D1570" s="17"/>
      <c r="J1570" s="2" t="s">
        <v>1713</v>
      </c>
    </row>
    <row r="1571" spans="1:10" x14ac:dyDescent="0.25">
      <c r="A1571" s="18" t="s">
        <v>1017</v>
      </c>
      <c r="B1571">
        <v>0.67488009344269251</v>
      </c>
      <c r="C1571" s="17">
        <f t="shared" si="24"/>
        <v>46235</v>
      </c>
      <c r="D1571" s="17"/>
      <c r="J1571" s="2" t="s">
        <v>1714</v>
      </c>
    </row>
    <row r="1572" spans="1:10" x14ac:dyDescent="0.25">
      <c r="A1572" s="18" t="s">
        <v>1222</v>
      </c>
      <c r="B1572">
        <v>0.67634358596160749</v>
      </c>
      <c r="C1572" s="17">
        <f t="shared" si="24"/>
        <v>46236</v>
      </c>
      <c r="D1572" s="17"/>
      <c r="J1572" s="2" t="s">
        <v>1715</v>
      </c>
    </row>
    <row r="1573" spans="1:10" x14ac:dyDescent="0.25">
      <c r="A1573" s="18" t="s">
        <v>2304</v>
      </c>
      <c r="B1573">
        <v>0.67687748523670221</v>
      </c>
      <c r="C1573" s="17">
        <f t="shared" si="24"/>
        <v>46237</v>
      </c>
      <c r="D1573" s="17"/>
      <c r="J1573" s="2" t="s">
        <v>189</v>
      </c>
    </row>
    <row r="1574" spans="1:10" x14ac:dyDescent="0.25">
      <c r="A1574" s="18" t="s">
        <v>1</v>
      </c>
      <c r="B1574">
        <v>0.67711210859882509</v>
      </c>
      <c r="C1574" s="17">
        <f t="shared" si="24"/>
        <v>46238</v>
      </c>
      <c r="D1574" s="17"/>
      <c r="J1574" s="2" t="s">
        <v>1716</v>
      </c>
    </row>
    <row r="1575" spans="1:10" x14ac:dyDescent="0.25">
      <c r="A1575" s="18" t="s">
        <v>1692</v>
      </c>
      <c r="B1575">
        <v>0.67725525393289965</v>
      </c>
      <c r="C1575" s="17">
        <f t="shared" si="24"/>
        <v>46239</v>
      </c>
      <c r="D1575" s="17"/>
      <c r="J1575" s="2" t="s">
        <v>1717</v>
      </c>
    </row>
    <row r="1576" spans="1:10" x14ac:dyDescent="0.25">
      <c r="A1576" s="18" t="s">
        <v>1055</v>
      </c>
      <c r="B1576">
        <v>0.67785907109091381</v>
      </c>
      <c r="C1576" s="17">
        <f t="shared" si="24"/>
        <v>46240</v>
      </c>
      <c r="D1576" s="17"/>
      <c r="J1576" s="2" t="s">
        <v>1718</v>
      </c>
    </row>
    <row r="1577" spans="1:10" x14ac:dyDescent="0.25">
      <c r="A1577" s="18" t="s">
        <v>749</v>
      </c>
      <c r="B1577">
        <v>0.67850590226080598</v>
      </c>
      <c r="C1577" s="17">
        <f t="shared" si="24"/>
        <v>46241</v>
      </c>
      <c r="D1577" s="17"/>
      <c r="J1577" s="2" t="s">
        <v>1719</v>
      </c>
    </row>
    <row r="1578" spans="1:10" x14ac:dyDescent="0.25">
      <c r="A1578" s="18" t="s">
        <v>1702</v>
      </c>
      <c r="B1578">
        <v>0.67855302667760797</v>
      </c>
      <c r="C1578" s="17">
        <f t="shared" si="24"/>
        <v>46242</v>
      </c>
      <c r="D1578" s="17"/>
      <c r="J1578" s="2" t="s">
        <v>1720</v>
      </c>
    </row>
    <row r="1579" spans="1:10" x14ac:dyDescent="0.25">
      <c r="A1579" s="18" t="s">
        <v>1437</v>
      </c>
      <c r="B1579">
        <v>0.67981303648441993</v>
      </c>
      <c r="C1579" s="17">
        <f t="shared" si="24"/>
        <v>46243</v>
      </c>
      <c r="D1579" s="17"/>
      <c r="J1579" s="2" t="s">
        <v>1721</v>
      </c>
    </row>
    <row r="1580" spans="1:10" x14ac:dyDescent="0.25">
      <c r="A1580" s="18" t="s">
        <v>1822</v>
      </c>
      <c r="B1580">
        <v>0.6810857945743517</v>
      </c>
      <c r="C1580" s="17">
        <f t="shared" si="24"/>
        <v>46244</v>
      </c>
      <c r="D1580" s="17"/>
      <c r="J1580" s="2" t="s">
        <v>1722</v>
      </c>
    </row>
    <row r="1581" spans="1:10" x14ac:dyDescent="0.25">
      <c r="A1581" s="18" t="s">
        <v>424</v>
      </c>
      <c r="B1581">
        <v>0.68130461498758554</v>
      </c>
      <c r="C1581" s="17">
        <f t="shared" si="24"/>
        <v>46245</v>
      </c>
      <c r="D1581" s="17"/>
      <c r="J1581" s="2" t="s">
        <v>1723</v>
      </c>
    </row>
    <row r="1582" spans="1:10" x14ac:dyDescent="0.25">
      <c r="A1582" s="18" t="s">
        <v>1842</v>
      </c>
      <c r="B1582">
        <v>0.68150199380669318</v>
      </c>
      <c r="C1582" s="17">
        <f t="shared" si="24"/>
        <v>46246</v>
      </c>
      <c r="D1582" s="17"/>
      <c r="J1582" s="2" t="s">
        <v>1724</v>
      </c>
    </row>
    <row r="1583" spans="1:10" x14ac:dyDescent="0.25">
      <c r="A1583" s="18" t="s">
        <v>2262</v>
      </c>
      <c r="B1583">
        <v>0.68205318343915611</v>
      </c>
      <c r="C1583" s="17">
        <f t="shared" si="24"/>
        <v>46247</v>
      </c>
      <c r="D1583" s="17"/>
      <c r="J1583" s="2" t="s">
        <v>105</v>
      </c>
    </row>
    <row r="1584" spans="1:10" x14ac:dyDescent="0.25">
      <c r="A1584" s="18" t="s">
        <v>1130</v>
      </c>
      <c r="B1584">
        <v>0.68260019763003321</v>
      </c>
      <c r="C1584" s="17">
        <f t="shared" si="24"/>
        <v>46248</v>
      </c>
      <c r="D1584" s="17"/>
      <c r="J1584" s="2" t="s">
        <v>1725</v>
      </c>
    </row>
    <row r="1585" spans="1:10" x14ac:dyDescent="0.25">
      <c r="A1585" s="18" t="s">
        <v>105</v>
      </c>
      <c r="B1585">
        <v>0.68265385718745974</v>
      </c>
      <c r="C1585" s="17">
        <f t="shared" si="24"/>
        <v>46249</v>
      </c>
      <c r="D1585" s="17"/>
      <c r="J1585" s="2" t="s">
        <v>1726</v>
      </c>
    </row>
    <row r="1586" spans="1:10" x14ac:dyDescent="0.25">
      <c r="A1586" s="18" t="s">
        <v>34</v>
      </c>
      <c r="B1586">
        <v>0.68267522979331019</v>
      </c>
      <c r="C1586" s="17">
        <f t="shared" si="24"/>
        <v>46250</v>
      </c>
      <c r="D1586" s="17"/>
      <c r="J1586" s="2" t="s">
        <v>1727</v>
      </c>
    </row>
    <row r="1587" spans="1:10" x14ac:dyDescent="0.25">
      <c r="A1587" s="18" t="s">
        <v>2285</v>
      </c>
      <c r="B1587">
        <v>0.68279163661209463</v>
      </c>
      <c r="C1587" s="17">
        <f t="shared" si="24"/>
        <v>46251</v>
      </c>
      <c r="D1587" s="17"/>
      <c r="J1587" s="2" t="s">
        <v>262</v>
      </c>
    </row>
    <row r="1588" spans="1:10" x14ac:dyDescent="0.25">
      <c r="A1588" s="18" t="s">
        <v>1952</v>
      </c>
      <c r="B1588">
        <v>0.68295949956034052</v>
      </c>
      <c r="C1588" s="17">
        <f t="shared" si="24"/>
        <v>46252</v>
      </c>
      <c r="D1588" s="17"/>
      <c r="J1588" s="2" t="s">
        <v>1728</v>
      </c>
    </row>
    <row r="1589" spans="1:10" x14ac:dyDescent="0.25">
      <c r="A1589" s="18" t="s">
        <v>643</v>
      </c>
      <c r="B1589">
        <v>0.68368688039651782</v>
      </c>
      <c r="C1589" s="17">
        <f t="shared" si="24"/>
        <v>46253</v>
      </c>
      <c r="D1589" s="17"/>
      <c r="J1589" s="2" t="s">
        <v>1729</v>
      </c>
    </row>
    <row r="1590" spans="1:10" x14ac:dyDescent="0.25">
      <c r="A1590" s="18" t="s">
        <v>246</v>
      </c>
      <c r="B1590">
        <v>0.68411236932759256</v>
      </c>
      <c r="C1590" s="17">
        <f t="shared" si="24"/>
        <v>46254</v>
      </c>
      <c r="D1590" s="17"/>
      <c r="J1590" s="2" t="s">
        <v>1730</v>
      </c>
    </row>
    <row r="1591" spans="1:10" x14ac:dyDescent="0.25">
      <c r="A1591" s="18" t="s">
        <v>1066</v>
      </c>
      <c r="B1591">
        <v>0.68441924430393564</v>
      </c>
      <c r="C1591" s="17">
        <f t="shared" si="24"/>
        <v>46255</v>
      </c>
      <c r="D1591" s="17"/>
      <c r="J1591" s="2" t="s">
        <v>1731</v>
      </c>
    </row>
    <row r="1592" spans="1:10" x14ac:dyDescent="0.25">
      <c r="A1592" s="18" t="s">
        <v>1649</v>
      </c>
      <c r="B1592">
        <v>0.68458097757118541</v>
      </c>
      <c r="C1592" s="17">
        <f t="shared" si="24"/>
        <v>46256</v>
      </c>
      <c r="D1592" s="17"/>
      <c r="J1592" s="2" t="s">
        <v>1732</v>
      </c>
    </row>
    <row r="1593" spans="1:10" x14ac:dyDescent="0.25">
      <c r="A1593" s="18" t="s">
        <v>1395</v>
      </c>
      <c r="B1593">
        <v>0.68491098486439195</v>
      </c>
      <c r="C1593" s="17">
        <f t="shared" si="24"/>
        <v>46257</v>
      </c>
      <c r="D1593" s="17"/>
      <c r="J1593" s="2" t="s">
        <v>1733</v>
      </c>
    </row>
    <row r="1594" spans="1:10" x14ac:dyDescent="0.25">
      <c r="A1594" s="18" t="s">
        <v>367</v>
      </c>
      <c r="B1594">
        <v>0.68491885440834432</v>
      </c>
      <c r="C1594" s="17">
        <f t="shared" si="24"/>
        <v>46258</v>
      </c>
      <c r="D1594" s="17"/>
      <c r="J1594" s="2" t="s">
        <v>1734</v>
      </c>
    </row>
    <row r="1595" spans="1:10" x14ac:dyDescent="0.25">
      <c r="A1595" s="18" t="s">
        <v>355</v>
      </c>
      <c r="B1595">
        <v>0.68609153115131072</v>
      </c>
      <c r="C1595" s="17">
        <f t="shared" si="24"/>
        <v>46259</v>
      </c>
      <c r="D1595" s="17"/>
      <c r="J1595" s="2" t="s">
        <v>1735</v>
      </c>
    </row>
    <row r="1596" spans="1:10" x14ac:dyDescent="0.25">
      <c r="A1596" s="18" t="s">
        <v>877</v>
      </c>
      <c r="B1596">
        <v>0.68783316545681195</v>
      </c>
      <c r="C1596" s="17">
        <f t="shared" si="24"/>
        <v>46260</v>
      </c>
      <c r="D1596" s="17"/>
      <c r="J1596" s="2" t="s">
        <v>1736</v>
      </c>
    </row>
    <row r="1597" spans="1:10" x14ac:dyDescent="0.25">
      <c r="A1597" s="18" t="s">
        <v>1693</v>
      </c>
      <c r="B1597">
        <v>0.68787666006619985</v>
      </c>
      <c r="C1597" s="17">
        <f t="shared" si="24"/>
        <v>46261</v>
      </c>
      <c r="D1597" s="17"/>
      <c r="J1597" s="2" t="s">
        <v>1737</v>
      </c>
    </row>
    <row r="1598" spans="1:10" x14ac:dyDescent="0.25">
      <c r="A1598" s="18" t="s">
        <v>1597</v>
      </c>
      <c r="B1598">
        <v>0.68804452124533122</v>
      </c>
      <c r="C1598" s="17">
        <f t="shared" si="24"/>
        <v>46262</v>
      </c>
      <c r="D1598" s="17"/>
      <c r="J1598" s="2" t="s">
        <v>1738</v>
      </c>
    </row>
    <row r="1599" spans="1:10" x14ac:dyDescent="0.25">
      <c r="A1599" s="18" t="s">
        <v>946</v>
      </c>
      <c r="B1599">
        <v>0.6881131498432258</v>
      </c>
      <c r="C1599" s="17">
        <f t="shared" si="24"/>
        <v>46263</v>
      </c>
      <c r="D1599" s="17"/>
      <c r="J1599" s="2" t="s">
        <v>1739</v>
      </c>
    </row>
    <row r="1600" spans="1:10" x14ac:dyDescent="0.25">
      <c r="A1600" s="18" t="s">
        <v>1440</v>
      </c>
      <c r="B1600">
        <v>0.68863789820684485</v>
      </c>
      <c r="C1600" s="17">
        <f t="shared" si="24"/>
        <v>46264</v>
      </c>
      <c r="D1600" s="17"/>
      <c r="J1600" s="2" t="s">
        <v>1740</v>
      </c>
    </row>
    <row r="1601" spans="1:10" x14ac:dyDescent="0.25">
      <c r="A1601" s="18" t="s">
        <v>919</v>
      </c>
      <c r="B1601">
        <v>0.688771888265855</v>
      </c>
      <c r="C1601" s="17">
        <f t="shared" si="24"/>
        <v>46265</v>
      </c>
      <c r="D1601" s="17"/>
      <c r="J1601" s="2" t="s">
        <v>119</v>
      </c>
    </row>
    <row r="1602" spans="1:10" x14ac:dyDescent="0.25">
      <c r="A1602" s="18" t="s">
        <v>962</v>
      </c>
      <c r="B1602">
        <v>0.68939947685402503</v>
      </c>
      <c r="C1602" s="17">
        <f t="shared" si="24"/>
        <v>46266</v>
      </c>
      <c r="D1602" s="17"/>
      <c r="J1602" s="2" t="s">
        <v>1741</v>
      </c>
    </row>
    <row r="1603" spans="1:10" x14ac:dyDescent="0.25">
      <c r="A1603" s="18" t="s">
        <v>7</v>
      </c>
      <c r="B1603">
        <v>0.68995338785962845</v>
      </c>
      <c r="C1603" s="17">
        <f t="shared" si="24"/>
        <v>46267</v>
      </c>
      <c r="D1603" s="17"/>
      <c r="J1603" s="2" t="s">
        <v>1742</v>
      </c>
    </row>
    <row r="1604" spans="1:10" x14ac:dyDescent="0.25">
      <c r="A1604" s="18" t="s">
        <v>2222</v>
      </c>
      <c r="B1604">
        <v>0.69004567306917064</v>
      </c>
      <c r="C1604" s="17">
        <f t="shared" ref="C1604:C1667" si="25">C1603+1</f>
        <v>46268</v>
      </c>
      <c r="D1604" s="17"/>
      <c r="J1604" s="2" t="s">
        <v>1743</v>
      </c>
    </row>
    <row r="1605" spans="1:10" x14ac:dyDescent="0.25">
      <c r="A1605" s="18" t="s">
        <v>2023</v>
      </c>
      <c r="B1605">
        <v>0.6905825264504436</v>
      </c>
      <c r="C1605" s="17">
        <f t="shared" si="25"/>
        <v>46269</v>
      </c>
      <c r="D1605" s="17"/>
      <c r="J1605" s="2" t="s">
        <v>1744</v>
      </c>
    </row>
    <row r="1606" spans="1:10" x14ac:dyDescent="0.25">
      <c r="A1606" s="18" t="s">
        <v>458</v>
      </c>
      <c r="B1606">
        <v>0.69124607728556697</v>
      </c>
      <c r="C1606" s="17">
        <f t="shared" si="25"/>
        <v>46270</v>
      </c>
      <c r="D1606" s="17"/>
      <c r="J1606" s="2" t="s">
        <v>1745</v>
      </c>
    </row>
    <row r="1607" spans="1:10" x14ac:dyDescent="0.25">
      <c r="A1607" s="18" t="s">
        <v>268</v>
      </c>
      <c r="B1607">
        <v>0.69160301255154166</v>
      </c>
      <c r="C1607" s="17">
        <f t="shared" si="25"/>
        <v>46271</v>
      </c>
      <c r="D1607" s="17"/>
      <c r="J1607" s="2" t="s">
        <v>1746</v>
      </c>
    </row>
    <row r="1608" spans="1:10" x14ac:dyDescent="0.25">
      <c r="A1608" s="18" t="s">
        <v>1606</v>
      </c>
      <c r="B1608">
        <v>0.69187893886034169</v>
      </c>
      <c r="C1608" s="17">
        <f t="shared" si="25"/>
        <v>46272</v>
      </c>
      <c r="D1608" s="17"/>
      <c r="J1608" s="2" t="s">
        <v>1747</v>
      </c>
    </row>
    <row r="1609" spans="1:10" x14ac:dyDescent="0.25">
      <c r="A1609" s="18" t="s">
        <v>767</v>
      </c>
      <c r="B1609">
        <v>0.6944976663464355</v>
      </c>
      <c r="C1609" s="17">
        <f t="shared" si="25"/>
        <v>46273</v>
      </c>
      <c r="D1609" s="17"/>
      <c r="J1609" s="2" t="s">
        <v>1748</v>
      </c>
    </row>
    <row r="1610" spans="1:10" x14ac:dyDescent="0.25">
      <c r="A1610" s="18" t="s">
        <v>2243</v>
      </c>
      <c r="B1610">
        <v>0.6945528873273501</v>
      </c>
      <c r="C1610" s="17">
        <f t="shared" si="25"/>
        <v>46274</v>
      </c>
      <c r="D1610" s="17"/>
      <c r="J1610" s="2" t="s">
        <v>1749</v>
      </c>
    </row>
    <row r="1611" spans="1:10" x14ac:dyDescent="0.25">
      <c r="A1611" s="18" t="s">
        <v>2135</v>
      </c>
      <c r="B1611">
        <v>0.69515505652920739</v>
      </c>
      <c r="C1611" s="17">
        <f t="shared" si="25"/>
        <v>46275</v>
      </c>
      <c r="D1611" s="17"/>
      <c r="J1611" s="2" t="s">
        <v>1750</v>
      </c>
    </row>
    <row r="1612" spans="1:10" x14ac:dyDescent="0.25">
      <c r="A1612" s="18" t="s">
        <v>732</v>
      </c>
      <c r="B1612">
        <v>0.69515920153533617</v>
      </c>
      <c r="C1612" s="17">
        <f t="shared" si="25"/>
        <v>46276</v>
      </c>
      <c r="D1612" s="17"/>
      <c r="J1612" s="2" t="s">
        <v>402</v>
      </c>
    </row>
    <row r="1613" spans="1:10" x14ac:dyDescent="0.25">
      <c r="A1613" s="18" t="s">
        <v>1638</v>
      </c>
      <c r="B1613">
        <v>0.69521581207883598</v>
      </c>
      <c r="C1613" s="17">
        <f t="shared" si="25"/>
        <v>46277</v>
      </c>
      <c r="D1613" s="17"/>
      <c r="J1613" s="2" t="s">
        <v>1751</v>
      </c>
    </row>
    <row r="1614" spans="1:10" x14ac:dyDescent="0.25">
      <c r="A1614" s="18" t="s">
        <v>76</v>
      </c>
      <c r="B1614">
        <v>0.69531052605138588</v>
      </c>
      <c r="C1614" s="17">
        <f t="shared" si="25"/>
        <v>46278</v>
      </c>
      <c r="D1614" s="17"/>
      <c r="J1614" s="2" t="s">
        <v>1752</v>
      </c>
    </row>
    <row r="1615" spans="1:10" x14ac:dyDescent="0.25">
      <c r="A1615" s="18" t="s">
        <v>958</v>
      </c>
      <c r="B1615">
        <v>0.69556575635161744</v>
      </c>
      <c r="C1615" s="17">
        <f t="shared" si="25"/>
        <v>46279</v>
      </c>
      <c r="D1615" s="17"/>
      <c r="J1615" s="2" t="s">
        <v>1753</v>
      </c>
    </row>
    <row r="1616" spans="1:10" x14ac:dyDescent="0.25">
      <c r="A1616" s="18" t="s">
        <v>1494</v>
      </c>
      <c r="B1616">
        <v>0.69615291760237474</v>
      </c>
      <c r="C1616" s="17">
        <f t="shared" si="25"/>
        <v>46280</v>
      </c>
      <c r="D1616" s="17"/>
      <c r="J1616" s="2" t="s">
        <v>1754</v>
      </c>
    </row>
    <row r="1617" spans="1:10" x14ac:dyDescent="0.25">
      <c r="A1617" s="18" t="s">
        <v>1836</v>
      </c>
      <c r="B1617">
        <v>0.69688838549862953</v>
      </c>
      <c r="C1617" s="17">
        <f t="shared" si="25"/>
        <v>46281</v>
      </c>
      <c r="D1617" s="17"/>
      <c r="J1617" s="2" t="s">
        <v>1755</v>
      </c>
    </row>
    <row r="1618" spans="1:10" x14ac:dyDescent="0.25">
      <c r="A1618" s="18" t="s">
        <v>1653</v>
      </c>
      <c r="B1618">
        <v>0.69707771296108612</v>
      </c>
      <c r="C1618" s="17">
        <f t="shared" si="25"/>
        <v>46282</v>
      </c>
      <c r="D1618" s="17"/>
      <c r="J1618" s="2" t="s">
        <v>1756</v>
      </c>
    </row>
    <row r="1619" spans="1:10" x14ac:dyDescent="0.25">
      <c r="A1619" s="18" t="s">
        <v>1902</v>
      </c>
      <c r="B1619">
        <v>0.69718559814191716</v>
      </c>
      <c r="C1619" s="17">
        <f t="shared" si="25"/>
        <v>46283</v>
      </c>
      <c r="D1619" s="17"/>
      <c r="J1619" s="2" t="s">
        <v>1757</v>
      </c>
    </row>
    <row r="1620" spans="1:10" x14ac:dyDescent="0.25">
      <c r="A1620" s="18" t="s">
        <v>1696</v>
      </c>
      <c r="B1620">
        <v>0.69729948495656957</v>
      </c>
      <c r="C1620" s="17">
        <f t="shared" si="25"/>
        <v>46284</v>
      </c>
      <c r="D1620" s="17"/>
      <c r="J1620" s="2" t="s">
        <v>1758</v>
      </c>
    </row>
    <row r="1621" spans="1:10" x14ac:dyDescent="0.25">
      <c r="A1621" s="18" t="s">
        <v>385</v>
      </c>
      <c r="B1621">
        <v>0.69733414379038139</v>
      </c>
      <c r="C1621" s="17">
        <f t="shared" si="25"/>
        <v>46285</v>
      </c>
      <c r="D1621" s="17"/>
      <c r="J1621" s="2" t="s">
        <v>154</v>
      </c>
    </row>
    <row r="1622" spans="1:10" x14ac:dyDescent="0.25">
      <c r="A1622" s="18" t="s">
        <v>1104</v>
      </c>
      <c r="B1622">
        <v>0.69841393056184675</v>
      </c>
      <c r="C1622" s="17">
        <f t="shared" si="25"/>
        <v>46286</v>
      </c>
      <c r="D1622" s="17"/>
      <c r="J1622" s="2" t="s">
        <v>1759</v>
      </c>
    </row>
    <row r="1623" spans="1:10" x14ac:dyDescent="0.25">
      <c r="A1623" s="18" t="s">
        <v>602</v>
      </c>
      <c r="B1623">
        <v>0.69846318829939469</v>
      </c>
      <c r="C1623" s="17">
        <f t="shared" si="25"/>
        <v>46287</v>
      </c>
      <c r="D1623" s="17"/>
      <c r="J1623" s="2" t="s">
        <v>258</v>
      </c>
    </row>
    <row r="1624" spans="1:10" x14ac:dyDescent="0.25">
      <c r="A1624" s="18" t="s">
        <v>310</v>
      </c>
      <c r="B1624">
        <v>0.69882284500376368</v>
      </c>
      <c r="C1624" s="17">
        <f t="shared" si="25"/>
        <v>46288</v>
      </c>
      <c r="D1624" s="17"/>
      <c r="J1624" s="2" t="s">
        <v>1760</v>
      </c>
    </row>
    <row r="1625" spans="1:10" x14ac:dyDescent="0.25">
      <c r="A1625" s="18" t="s">
        <v>696</v>
      </c>
      <c r="B1625">
        <v>0.69950395822812983</v>
      </c>
      <c r="C1625" s="17">
        <f t="shared" si="25"/>
        <v>46289</v>
      </c>
      <c r="D1625" s="17"/>
      <c r="J1625" s="2" t="s">
        <v>1761</v>
      </c>
    </row>
    <row r="1626" spans="1:10" x14ac:dyDescent="0.25">
      <c r="A1626" s="18" t="s">
        <v>1558</v>
      </c>
      <c r="B1626">
        <v>0.69966629667868996</v>
      </c>
      <c r="C1626" s="17">
        <f t="shared" si="25"/>
        <v>46290</v>
      </c>
      <c r="D1626" s="17"/>
      <c r="J1626" s="2" t="s">
        <v>10</v>
      </c>
    </row>
    <row r="1627" spans="1:10" x14ac:dyDescent="0.25">
      <c r="A1627" s="18" t="s">
        <v>2240</v>
      </c>
      <c r="B1627">
        <v>0.69968571100877375</v>
      </c>
      <c r="C1627" s="17">
        <f t="shared" si="25"/>
        <v>46291</v>
      </c>
      <c r="D1627" s="17"/>
      <c r="J1627" s="2" t="s">
        <v>1762</v>
      </c>
    </row>
    <row r="1628" spans="1:10" x14ac:dyDescent="0.25">
      <c r="A1628" s="18" t="s">
        <v>2012</v>
      </c>
      <c r="B1628">
        <v>0.69977943073700544</v>
      </c>
      <c r="C1628" s="17">
        <f t="shared" si="25"/>
        <v>46292</v>
      </c>
      <c r="D1628" s="17"/>
      <c r="J1628" s="2" t="s">
        <v>1763</v>
      </c>
    </row>
    <row r="1629" spans="1:10" x14ac:dyDescent="0.25">
      <c r="A1629" s="18" t="s">
        <v>341</v>
      </c>
      <c r="B1629">
        <v>0.69989791314363969</v>
      </c>
      <c r="C1629" s="17">
        <f t="shared" si="25"/>
        <v>46293</v>
      </c>
      <c r="D1629" s="17"/>
      <c r="J1629" s="2" t="s">
        <v>348</v>
      </c>
    </row>
    <row r="1630" spans="1:10" x14ac:dyDescent="0.25">
      <c r="A1630" s="18" t="s">
        <v>2081</v>
      </c>
      <c r="B1630">
        <v>0.70042614992582108</v>
      </c>
      <c r="C1630" s="17">
        <f t="shared" si="25"/>
        <v>46294</v>
      </c>
      <c r="D1630" s="17"/>
      <c r="J1630" s="2" t="s">
        <v>1764</v>
      </c>
    </row>
    <row r="1631" spans="1:10" x14ac:dyDescent="0.25">
      <c r="A1631" s="18" t="s">
        <v>1452</v>
      </c>
      <c r="B1631">
        <v>0.70138130346489036</v>
      </c>
      <c r="C1631" s="17">
        <f t="shared" si="25"/>
        <v>46295</v>
      </c>
      <c r="D1631" s="17"/>
      <c r="J1631" s="2" t="s">
        <v>1765</v>
      </c>
    </row>
    <row r="1632" spans="1:10" x14ac:dyDescent="0.25">
      <c r="A1632" s="18" t="s">
        <v>1724</v>
      </c>
      <c r="B1632">
        <v>0.70160018330577045</v>
      </c>
      <c r="C1632" s="17">
        <f t="shared" si="25"/>
        <v>46296</v>
      </c>
      <c r="D1632" s="17"/>
      <c r="J1632" s="2" t="s">
        <v>1766</v>
      </c>
    </row>
    <row r="1633" spans="1:10" x14ac:dyDescent="0.25">
      <c r="A1633" s="18" t="s">
        <v>1975</v>
      </c>
      <c r="B1633">
        <v>0.70173104244402307</v>
      </c>
      <c r="C1633" s="17">
        <f t="shared" si="25"/>
        <v>46297</v>
      </c>
      <c r="D1633" s="17"/>
      <c r="J1633" s="2" t="s">
        <v>48</v>
      </c>
    </row>
    <row r="1634" spans="1:10" x14ac:dyDescent="0.25">
      <c r="A1634" s="18" t="s">
        <v>2214</v>
      </c>
      <c r="B1634">
        <v>0.70206209460649183</v>
      </c>
      <c r="C1634" s="17">
        <f t="shared" si="25"/>
        <v>46298</v>
      </c>
      <c r="D1634" s="17"/>
      <c r="J1634" s="2" t="s">
        <v>1767</v>
      </c>
    </row>
    <row r="1635" spans="1:10" x14ac:dyDescent="0.25">
      <c r="A1635" s="18" t="s">
        <v>535</v>
      </c>
      <c r="B1635">
        <v>0.70214275351219624</v>
      </c>
      <c r="C1635" s="17">
        <f t="shared" si="25"/>
        <v>46299</v>
      </c>
      <c r="D1635" s="17"/>
      <c r="J1635" s="2" t="s">
        <v>408</v>
      </c>
    </row>
    <row r="1636" spans="1:10" x14ac:dyDescent="0.25">
      <c r="A1636" s="18" t="s">
        <v>1830</v>
      </c>
      <c r="B1636">
        <v>0.70255845903890013</v>
      </c>
      <c r="C1636" s="17">
        <f t="shared" si="25"/>
        <v>46300</v>
      </c>
      <c r="D1636" s="17"/>
      <c r="J1636" s="2" t="s">
        <v>1768</v>
      </c>
    </row>
    <row r="1637" spans="1:10" x14ac:dyDescent="0.25">
      <c r="A1637" s="18" t="s">
        <v>57</v>
      </c>
      <c r="B1637">
        <v>0.70306611390873242</v>
      </c>
      <c r="C1637" s="17">
        <f t="shared" si="25"/>
        <v>46301</v>
      </c>
      <c r="D1637" s="17"/>
      <c r="J1637" s="2" t="s">
        <v>1769</v>
      </c>
    </row>
    <row r="1638" spans="1:10" x14ac:dyDescent="0.25">
      <c r="A1638" s="18" t="s">
        <v>447</v>
      </c>
      <c r="B1638">
        <v>0.70390354637378738</v>
      </c>
      <c r="C1638" s="17">
        <f t="shared" si="25"/>
        <v>46302</v>
      </c>
      <c r="D1638" s="17"/>
      <c r="J1638" s="2" t="s">
        <v>1770</v>
      </c>
    </row>
    <row r="1639" spans="1:10" x14ac:dyDescent="0.25">
      <c r="A1639" s="18" t="s">
        <v>1732</v>
      </c>
      <c r="B1639">
        <v>0.70420440044526589</v>
      </c>
      <c r="C1639" s="17">
        <f t="shared" si="25"/>
        <v>46303</v>
      </c>
      <c r="D1639" s="17"/>
      <c r="J1639" s="2" t="s">
        <v>428</v>
      </c>
    </row>
    <row r="1640" spans="1:10" x14ac:dyDescent="0.25">
      <c r="A1640" s="18" t="s">
        <v>2211</v>
      </c>
      <c r="B1640">
        <v>0.70434678757203595</v>
      </c>
      <c r="C1640" s="17">
        <f t="shared" si="25"/>
        <v>46304</v>
      </c>
      <c r="D1640" s="17"/>
      <c r="J1640" s="2" t="s">
        <v>1771</v>
      </c>
    </row>
    <row r="1641" spans="1:10" x14ac:dyDescent="0.25">
      <c r="A1641" s="18" t="s">
        <v>515</v>
      </c>
      <c r="B1641">
        <v>0.70467875244168643</v>
      </c>
      <c r="C1641" s="17">
        <f t="shared" si="25"/>
        <v>46305</v>
      </c>
      <c r="D1641" s="17"/>
      <c r="J1641" s="2" t="s">
        <v>1772</v>
      </c>
    </row>
    <row r="1642" spans="1:10" x14ac:dyDescent="0.25">
      <c r="A1642" s="18" t="s">
        <v>2152</v>
      </c>
      <c r="B1642">
        <v>0.70492378269316758</v>
      </c>
      <c r="C1642" s="17">
        <f t="shared" si="25"/>
        <v>46306</v>
      </c>
      <c r="D1642" s="17"/>
      <c r="J1642" s="2" t="s">
        <v>1773</v>
      </c>
    </row>
    <row r="1643" spans="1:10" x14ac:dyDescent="0.25">
      <c r="A1643" s="18" t="s">
        <v>1423</v>
      </c>
      <c r="B1643">
        <v>0.70516288196878751</v>
      </c>
      <c r="C1643" s="17">
        <f t="shared" si="25"/>
        <v>46307</v>
      </c>
      <c r="D1643" s="17"/>
      <c r="J1643" s="2" t="s">
        <v>1774</v>
      </c>
    </row>
    <row r="1644" spans="1:10" x14ac:dyDescent="0.25">
      <c r="A1644" s="18" t="s">
        <v>1973</v>
      </c>
      <c r="B1644">
        <v>0.70587330766288303</v>
      </c>
      <c r="C1644" s="17">
        <f t="shared" si="25"/>
        <v>46308</v>
      </c>
      <c r="D1644" s="17"/>
      <c r="J1644" s="2" t="s">
        <v>1775</v>
      </c>
    </row>
    <row r="1645" spans="1:10" x14ac:dyDescent="0.25">
      <c r="A1645" s="18" t="s">
        <v>850</v>
      </c>
      <c r="B1645">
        <v>0.70603530415956006</v>
      </c>
      <c r="C1645" s="17">
        <f t="shared" si="25"/>
        <v>46309</v>
      </c>
      <c r="D1645" s="17"/>
      <c r="J1645" s="2" t="s">
        <v>1776</v>
      </c>
    </row>
    <row r="1646" spans="1:10" x14ac:dyDescent="0.25">
      <c r="A1646" s="18" t="s">
        <v>120</v>
      </c>
      <c r="B1646">
        <v>0.70714762957814925</v>
      </c>
      <c r="C1646" s="17">
        <f t="shared" si="25"/>
        <v>46310</v>
      </c>
      <c r="D1646" s="17"/>
      <c r="J1646" s="2" t="s">
        <v>1777</v>
      </c>
    </row>
    <row r="1647" spans="1:10" x14ac:dyDescent="0.25">
      <c r="A1647" s="18" t="s">
        <v>887</v>
      </c>
      <c r="B1647">
        <v>0.70719717384873093</v>
      </c>
      <c r="C1647" s="17">
        <f t="shared" si="25"/>
        <v>46311</v>
      </c>
      <c r="D1647" s="17"/>
      <c r="J1647" s="2" t="s">
        <v>1778</v>
      </c>
    </row>
    <row r="1648" spans="1:10" x14ac:dyDescent="0.25">
      <c r="A1648" s="18" t="s">
        <v>449</v>
      </c>
      <c r="B1648">
        <v>0.7074358216553025</v>
      </c>
      <c r="C1648" s="17">
        <f t="shared" si="25"/>
        <v>46312</v>
      </c>
      <c r="D1648" s="17"/>
      <c r="J1648" s="2" t="s">
        <v>1779</v>
      </c>
    </row>
    <row r="1649" spans="1:10" x14ac:dyDescent="0.25">
      <c r="A1649" s="18" t="s">
        <v>2298</v>
      </c>
      <c r="B1649">
        <v>0.70830340005818415</v>
      </c>
      <c r="C1649" s="17">
        <f t="shared" si="25"/>
        <v>46313</v>
      </c>
      <c r="D1649" s="17"/>
      <c r="J1649" s="2" t="s">
        <v>1780</v>
      </c>
    </row>
    <row r="1650" spans="1:10" x14ac:dyDescent="0.25">
      <c r="A1650" s="18" t="s">
        <v>1801</v>
      </c>
      <c r="B1650">
        <v>0.70830572421694638</v>
      </c>
      <c r="C1650" s="17">
        <f t="shared" si="25"/>
        <v>46314</v>
      </c>
      <c r="D1650" s="17"/>
      <c r="J1650" s="2" t="s">
        <v>38</v>
      </c>
    </row>
    <row r="1651" spans="1:10" x14ac:dyDescent="0.25">
      <c r="A1651" s="18" t="s">
        <v>2303</v>
      </c>
      <c r="B1651">
        <v>0.70868912194691536</v>
      </c>
      <c r="C1651" s="17">
        <f t="shared" si="25"/>
        <v>46315</v>
      </c>
      <c r="D1651" s="17"/>
      <c r="J1651" s="2" t="s">
        <v>1781</v>
      </c>
    </row>
    <row r="1652" spans="1:10" x14ac:dyDescent="0.25">
      <c r="A1652" s="18" t="s">
        <v>27</v>
      </c>
      <c r="B1652">
        <v>0.708914435457493</v>
      </c>
      <c r="C1652" s="17">
        <f t="shared" si="25"/>
        <v>46316</v>
      </c>
      <c r="D1652" s="17"/>
      <c r="J1652" s="2" t="s">
        <v>266</v>
      </c>
    </row>
    <row r="1653" spans="1:10" x14ac:dyDescent="0.25">
      <c r="A1653" s="18" t="s">
        <v>2063</v>
      </c>
      <c r="B1653">
        <v>0.70905168508987548</v>
      </c>
      <c r="C1653" s="17">
        <f t="shared" si="25"/>
        <v>46317</v>
      </c>
      <c r="D1653" s="17"/>
      <c r="J1653" s="2" t="s">
        <v>450</v>
      </c>
    </row>
    <row r="1654" spans="1:10" x14ac:dyDescent="0.25">
      <c r="A1654" s="18" t="s">
        <v>731</v>
      </c>
      <c r="B1654">
        <v>0.71059239018770526</v>
      </c>
      <c r="C1654" s="17">
        <f t="shared" si="25"/>
        <v>46318</v>
      </c>
      <c r="D1654" s="17"/>
      <c r="J1654" s="2" t="s">
        <v>1782</v>
      </c>
    </row>
    <row r="1655" spans="1:10" x14ac:dyDescent="0.25">
      <c r="A1655" s="18" t="s">
        <v>926</v>
      </c>
      <c r="B1655">
        <v>0.71063167469361199</v>
      </c>
      <c r="C1655" s="17">
        <f t="shared" si="25"/>
        <v>46319</v>
      </c>
      <c r="D1655" s="17"/>
      <c r="J1655" s="2" t="s">
        <v>1783</v>
      </c>
    </row>
    <row r="1656" spans="1:10" x14ac:dyDescent="0.25">
      <c r="A1656" s="18" t="s">
        <v>540</v>
      </c>
      <c r="B1656">
        <v>0.71120286369790775</v>
      </c>
      <c r="C1656" s="17">
        <f t="shared" si="25"/>
        <v>46320</v>
      </c>
      <c r="D1656" s="17"/>
      <c r="J1656" s="2" t="s">
        <v>1784</v>
      </c>
    </row>
    <row r="1657" spans="1:10" x14ac:dyDescent="0.25">
      <c r="A1657" s="18" t="s">
        <v>1914</v>
      </c>
      <c r="B1657">
        <v>0.71158012219878852</v>
      </c>
      <c r="C1657" s="17">
        <f t="shared" si="25"/>
        <v>46321</v>
      </c>
      <c r="D1657" s="17"/>
      <c r="J1657" s="2" t="s">
        <v>217</v>
      </c>
    </row>
    <row r="1658" spans="1:10" x14ac:dyDescent="0.25">
      <c r="A1658" s="18" t="s">
        <v>1508</v>
      </c>
      <c r="B1658">
        <v>0.71174241647640502</v>
      </c>
      <c r="C1658" s="17">
        <f t="shared" si="25"/>
        <v>46322</v>
      </c>
      <c r="D1658" s="17"/>
      <c r="J1658" s="2" t="s">
        <v>1785</v>
      </c>
    </row>
    <row r="1659" spans="1:10" x14ac:dyDescent="0.25">
      <c r="A1659" s="18" t="s">
        <v>312</v>
      </c>
      <c r="B1659">
        <v>0.71190671357117019</v>
      </c>
      <c r="C1659" s="17">
        <f t="shared" si="25"/>
        <v>46323</v>
      </c>
      <c r="D1659" s="17"/>
      <c r="J1659" s="2" t="s">
        <v>1786</v>
      </c>
    </row>
    <row r="1660" spans="1:10" x14ac:dyDescent="0.25">
      <c r="A1660" s="18" t="s">
        <v>44</v>
      </c>
      <c r="B1660">
        <v>0.71290480194617356</v>
      </c>
      <c r="C1660" s="17">
        <f t="shared" si="25"/>
        <v>46324</v>
      </c>
      <c r="D1660" s="17"/>
      <c r="J1660" s="2" t="s">
        <v>1787</v>
      </c>
    </row>
    <row r="1661" spans="1:10" x14ac:dyDescent="0.25">
      <c r="A1661" s="18" t="s">
        <v>640</v>
      </c>
      <c r="B1661">
        <v>0.71293341389573739</v>
      </c>
      <c r="C1661" s="17">
        <f t="shared" si="25"/>
        <v>46325</v>
      </c>
      <c r="D1661" s="17"/>
      <c r="J1661" s="2" t="s">
        <v>1788</v>
      </c>
    </row>
    <row r="1662" spans="1:10" x14ac:dyDescent="0.25">
      <c r="A1662" s="18" t="s">
        <v>1381</v>
      </c>
      <c r="B1662">
        <v>0.71300876100881683</v>
      </c>
      <c r="C1662" s="17">
        <f t="shared" si="25"/>
        <v>46326</v>
      </c>
      <c r="D1662" s="17"/>
      <c r="J1662" s="2" t="s">
        <v>36</v>
      </c>
    </row>
    <row r="1663" spans="1:10" x14ac:dyDescent="0.25">
      <c r="A1663" s="18" t="s">
        <v>598</v>
      </c>
      <c r="B1663">
        <v>0.71341607052375478</v>
      </c>
      <c r="C1663" s="17">
        <f t="shared" si="25"/>
        <v>46327</v>
      </c>
      <c r="D1663" s="17"/>
      <c r="J1663" s="2" t="s">
        <v>1789</v>
      </c>
    </row>
    <row r="1664" spans="1:10" x14ac:dyDescent="0.25">
      <c r="A1664" s="18" t="s">
        <v>809</v>
      </c>
      <c r="B1664">
        <v>0.71430461003335788</v>
      </c>
      <c r="C1664" s="17">
        <f t="shared" si="25"/>
        <v>46328</v>
      </c>
      <c r="D1664" s="17"/>
      <c r="J1664" s="2" t="s">
        <v>1790</v>
      </c>
    </row>
    <row r="1665" spans="1:10" x14ac:dyDescent="0.25">
      <c r="A1665" s="18" t="s">
        <v>342</v>
      </c>
      <c r="B1665">
        <v>0.71483185072411581</v>
      </c>
      <c r="C1665" s="17">
        <f t="shared" si="25"/>
        <v>46329</v>
      </c>
      <c r="D1665" s="17"/>
      <c r="J1665" s="2" t="s">
        <v>1791</v>
      </c>
    </row>
    <row r="1666" spans="1:10" x14ac:dyDescent="0.25">
      <c r="A1666" s="18" t="s">
        <v>411</v>
      </c>
      <c r="B1666">
        <v>0.71514357260156136</v>
      </c>
      <c r="C1666" s="17">
        <f t="shared" si="25"/>
        <v>46330</v>
      </c>
      <c r="D1666" s="17"/>
      <c r="J1666" s="2" t="s">
        <v>1792</v>
      </c>
    </row>
    <row r="1667" spans="1:10" x14ac:dyDescent="0.25">
      <c r="A1667" s="18" t="s">
        <v>560</v>
      </c>
      <c r="B1667">
        <v>0.71612976963088149</v>
      </c>
      <c r="C1667" s="17">
        <f t="shared" si="25"/>
        <v>46331</v>
      </c>
      <c r="D1667" s="17"/>
      <c r="J1667" s="2" t="s">
        <v>1793</v>
      </c>
    </row>
    <row r="1668" spans="1:10" x14ac:dyDescent="0.25">
      <c r="A1668" s="18" t="s">
        <v>2124</v>
      </c>
      <c r="B1668">
        <v>0.71686345672644791</v>
      </c>
      <c r="C1668" s="17">
        <f t="shared" ref="C1668:C1731" si="26">C1667+1</f>
        <v>46332</v>
      </c>
      <c r="D1668" s="17"/>
      <c r="J1668" s="2" t="s">
        <v>1794</v>
      </c>
    </row>
    <row r="1669" spans="1:10" x14ac:dyDescent="0.25">
      <c r="A1669" s="18" t="s">
        <v>183</v>
      </c>
      <c r="B1669">
        <v>0.71718920726480107</v>
      </c>
      <c r="C1669" s="17">
        <f t="shared" si="26"/>
        <v>46333</v>
      </c>
      <c r="D1669" s="17"/>
      <c r="J1669" s="2" t="s">
        <v>1795</v>
      </c>
    </row>
    <row r="1670" spans="1:10" x14ac:dyDescent="0.25">
      <c r="A1670" s="18" t="s">
        <v>2250</v>
      </c>
      <c r="B1670">
        <v>0.71801695693499223</v>
      </c>
      <c r="C1670" s="17">
        <f t="shared" si="26"/>
        <v>46334</v>
      </c>
      <c r="D1670" s="17"/>
      <c r="J1670" s="2" t="s">
        <v>298</v>
      </c>
    </row>
    <row r="1671" spans="1:10" x14ac:dyDescent="0.25">
      <c r="A1671" s="18" t="s">
        <v>1607</v>
      </c>
      <c r="B1671">
        <v>0.71809545863923241</v>
      </c>
      <c r="C1671" s="17">
        <f t="shared" si="26"/>
        <v>46335</v>
      </c>
      <c r="D1671" s="17"/>
      <c r="J1671" s="2" t="s">
        <v>1796</v>
      </c>
    </row>
    <row r="1672" spans="1:10" x14ac:dyDescent="0.25">
      <c r="A1672" s="18" t="s">
        <v>974</v>
      </c>
      <c r="B1672">
        <v>0.7181368353070926</v>
      </c>
      <c r="C1672" s="17">
        <f t="shared" si="26"/>
        <v>46336</v>
      </c>
      <c r="D1672" s="17"/>
      <c r="J1672" s="2" t="s">
        <v>180</v>
      </c>
    </row>
    <row r="1673" spans="1:10" x14ac:dyDescent="0.25">
      <c r="A1673" s="18" t="s">
        <v>213</v>
      </c>
      <c r="B1673">
        <v>0.71831174817134869</v>
      </c>
      <c r="C1673" s="17">
        <f t="shared" si="26"/>
        <v>46337</v>
      </c>
      <c r="D1673" s="17"/>
      <c r="J1673" s="2" t="s">
        <v>1797</v>
      </c>
    </row>
    <row r="1674" spans="1:10" x14ac:dyDescent="0.25">
      <c r="A1674" s="18" t="s">
        <v>1006</v>
      </c>
      <c r="B1674">
        <v>0.71971450278643823</v>
      </c>
      <c r="C1674" s="17">
        <f t="shared" si="26"/>
        <v>46338</v>
      </c>
      <c r="D1674" s="17"/>
      <c r="J1674" s="2" t="s">
        <v>1798</v>
      </c>
    </row>
    <row r="1675" spans="1:10" x14ac:dyDescent="0.25">
      <c r="A1675" s="18" t="s">
        <v>1787</v>
      </c>
      <c r="B1675">
        <v>0.72032959783586792</v>
      </c>
      <c r="C1675" s="17">
        <f t="shared" si="26"/>
        <v>46339</v>
      </c>
      <c r="D1675" s="17"/>
      <c r="J1675" s="2" t="s">
        <v>435</v>
      </c>
    </row>
    <row r="1676" spans="1:10" x14ac:dyDescent="0.25">
      <c r="A1676" s="18" t="s">
        <v>343</v>
      </c>
      <c r="B1676">
        <v>0.72034262791842441</v>
      </c>
      <c r="C1676" s="17">
        <f t="shared" si="26"/>
        <v>46340</v>
      </c>
      <c r="D1676" s="17"/>
      <c r="J1676" s="2" t="s">
        <v>3</v>
      </c>
    </row>
    <row r="1677" spans="1:10" x14ac:dyDescent="0.25">
      <c r="A1677" s="18" t="s">
        <v>1640</v>
      </c>
      <c r="B1677">
        <v>0.72094118195920442</v>
      </c>
      <c r="C1677" s="17">
        <f t="shared" si="26"/>
        <v>46341</v>
      </c>
      <c r="D1677" s="17"/>
      <c r="J1677" s="2" t="s">
        <v>1799</v>
      </c>
    </row>
    <row r="1678" spans="1:10" x14ac:dyDescent="0.25">
      <c r="A1678" s="18" t="s">
        <v>1690</v>
      </c>
      <c r="B1678">
        <v>0.72154556641989986</v>
      </c>
      <c r="C1678" s="17">
        <f t="shared" si="26"/>
        <v>46342</v>
      </c>
      <c r="D1678" s="17"/>
      <c r="J1678" s="2" t="s">
        <v>1800</v>
      </c>
    </row>
    <row r="1679" spans="1:10" x14ac:dyDescent="0.25">
      <c r="A1679" s="18" t="s">
        <v>1986</v>
      </c>
      <c r="B1679">
        <v>0.72155674442200934</v>
      </c>
      <c r="C1679" s="17">
        <f t="shared" si="26"/>
        <v>46343</v>
      </c>
      <c r="D1679" s="17"/>
      <c r="J1679" s="2" t="s">
        <v>1801</v>
      </c>
    </row>
    <row r="1680" spans="1:10" x14ac:dyDescent="0.25">
      <c r="A1680" s="18" t="s">
        <v>497</v>
      </c>
      <c r="B1680">
        <v>0.72162459312571181</v>
      </c>
      <c r="C1680" s="17">
        <f t="shared" si="26"/>
        <v>46344</v>
      </c>
      <c r="D1680" s="17"/>
      <c r="J1680" s="2" t="s">
        <v>1802</v>
      </c>
    </row>
    <row r="1681" spans="1:10" x14ac:dyDescent="0.25">
      <c r="A1681" s="18" t="s">
        <v>1320</v>
      </c>
      <c r="B1681">
        <v>0.72175695649563631</v>
      </c>
      <c r="C1681" s="17">
        <f t="shared" si="26"/>
        <v>46345</v>
      </c>
      <c r="D1681" s="17"/>
      <c r="J1681" s="2" t="s">
        <v>83</v>
      </c>
    </row>
    <row r="1682" spans="1:10" x14ac:dyDescent="0.25">
      <c r="A1682" s="18" t="s">
        <v>929</v>
      </c>
      <c r="B1682">
        <v>0.72303328157542435</v>
      </c>
      <c r="C1682" s="17">
        <f t="shared" si="26"/>
        <v>46346</v>
      </c>
      <c r="D1682" s="17"/>
      <c r="J1682" s="2" t="s">
        <v>305</v>
      </c>
    </row>
    <row r="1683" spans="1:10" x14ac:dyDescent="0.25">
      <c r="A1683" s="18" t="s">
        <v>2055</v>
      </c>
      <c r="B1683">
        <v>0.72319921185628189</v>
      </c>
      <c r="C1683" s="17">
        <f t="shared" si="26"/>
        <v>46347</v>
      </c>
      <c r="D1683" s="17"/>
      <c r="J1683" s="2" t="s">
        <v>1803</v>
      </c>
    </row>
    <row r="1684" spans="1:10" x14ac:dyDescent="0.25">
      <c r="A1684" s="18" t="s">
        <v>1150</v>
      </c>
      <c r="B1684">
        <v>0.72326154356532313</v>
      </c>
      <c r="C1684" s="17">
        <f t="shared" si="26"/>
        <v>46348</v>
      </c>
      <c r="D1684" s="17"/>
      <c r="J1684" s="2" t="s">
        <v>1804</v>
      </c>
    </row>
    <row r="1685" spans="1:10" x14ac:dyDescent="0.25">
      <c r="A1685" s="18" t="s">
        <v>1736</v>
      </c>
      <c r="B1685">
        <v>0.72333342341906259</v>
      </c>
      <c r="C1685" s="17">
        <f t="shared" si="26"/>
        <v>46349</v>
      </c>
      <c r="D1685" s="17"/>
      <c r="J1685" s="2" t="s">
        <v>1805</v>
      </c>
    </row>
    <row r="1686" spans="1:10" x14ac:dyDescent="0.25">
      <c r="A1686" s="18" t="s">
        <v>517</v>
      </c>
      <c r="B1686">
        <v>0.72349913714195691</v>
      </c>
      <c r="C1686" s="17">
        <f t="shared" si="26"/>
        <v>46350</v>
      </c>
      <c r="D1686" s="17"/>
      <c r="J1686" s="2" t="s">
        <v>1806</v>
      </c>
    </row>
    <row r="1687" spans="1:10" x14ac:dyDescent="0.25">
      <c r="A1687" s="18" t="s">
        <v>1307</v>
      </c>
      <c r="B1687">
        <v>0.72385625621369509</v>
      </c>
      <c r="C1687" s="17">
        <f t="shared" si="26"/>
        <v>46351</v>
      </c>
      <c r="D1687" s="17"/>
      <c r="J1687" s="2" t="s">
        <v>1807</v>
      </c>
    </row>
    <row r="1688" spans="1:10" x14ac:dyDescent="0.25">
      <c r="A1688" s="18" t="s">
        <v>88</v>
      </c>
      <c r="B1688">
        <v>0.72407670499082211</v>
      </c>
      <c r="C1688" s="17">
        <f t="shared" si="26"/>
        <v>46352</v>
      </c>
      <c r="D1688" s="17"/>
      <c r="J1688" s="2" t="s">
        <v>1808</v>
      </c>
    </row>
    <row r="1689" spans="1:10" x14ac:dyDescent="0.25">
      <c r="A1689" s="18" t="s">
        <v>1310</v>
      </c>
      <c r="B1689">
        <v>0.72524259732721152</v>
      </c>
      <c r="C1689" s="17">
        <f t="shared" si="26"/>
        <v>46353</v>
      </c>
      <c r="D1689" s="17"/>
      <c r="J1689" s="2" t="s">
        <v>1809</v>
      </c>
    </row>
    <row r="1690" spans="1:10" x14ac:dyDescent="0.25">
      <c r="A1690" s="18" t="s">
        <v>320</v>
      </c>
      <c r="B1690">
        <v>0.72561795774286963</v>
      </c>
      <c r="C1690" s="17">
        <f t="shared" si="26"/>
        <v>46354</v>
      </c>
      <c r="D1690" s="17"/>
      <c r="J1690" s="2" t="s">
        <v>1810</v>
      </c>
    </row>
    <row r="1691" spans="1:10" x14ac:dyDescent="0.25">
      <c r="A1691" s="18" t="s">
        <v>1602</v>
      </c>
      <c r="B1691">
        <v>0.7259507609919873</v>
      </c>
      <c r="C1691" s="17">
        <f t="shared" si="26"/>
        <v>46355</v>
      </c>
      <c r="D1691" s="17"/>
      <c r="J1691" s="2" t="s">
        <v>1811</v>
      </c>
    </row>
    <row r="1692" spans="1:10" x14ac:dyDescent="0.25">
      <c r="A1692" s="18" t="s">
        <v>73</v>
      </c>
      <c r="B1692">
        <v>0.72613495053265742</v>
      </c>
      <c r="C1692" s="17">
        <f t="shared" si="26"/>
        <v>46356</v>
      </c>
      <c r="D1692" s="17"/>
      <c r="J1692" s="2" t="s">
        <v>1812</v>
      </c>
    </row>
    <row r="1693" spans="1:10" x14ac:dyDescent="0.25">
      <c r="A1693" s="18" t="s">
        <v>1609</v>
      </c>
      <c r="B1693">
        <v>0.7262842564666897</v>
      </c>
      <c r="C1693" s="17">
        <f t="shared" si="26"/>
        <v>46357</v>
      </c>
      <c r="D1693" s="17"/>
      <c r="J1693" s="2" t="s">
        <v>23</v>
      </c>
    </row>
    <row r="1694" spans="1:10" x14ac:dyDescent="0.25">
      <c r="A1694" s="18" t="s">
        <v>682</v>
      </c>
      <c r="B1694">
        <v>0.72655881759905194</v>
      </c>
      <c r="C1694" s="17">
        <f t="shared" si="26"/>
        <v>46358</v>
      </c>
      <c r="D1694" s="17"/>
      <c r="J1694" s="2" t="s">
        <v>317</v>
      </c>
    </row>
    <row r="1695" spans="1:10" x14ac:dyDescent="0.25">
      <c r="A1695" s="18" t="s">
        <v>845</v>
      </c>
      <c r="B1695">
        <v>0.72875120284691197</v>
      </c>
      <c r="C1695" s="17">
        <f t="shared" si="26"/>
        <v>46359</v>
      </c>
      <c r="D1695" s="17"/>
      <c r="J1695" s="2" t="s">
        <v>1813</v>
      </c>
    </row>
    <row r="1696" spans="1:10" x14ac:dyDescent="0.25">
      <c r="A1696" s="18" t="s">
        <v>831</v>
      </c>
      <c r="B1696">
        <v>0.72876410570932704</v>
      </c>
      <c r="C1696" s="17">
        <f t="shared" si="26"/>
        <v>46360</v>
      </c>
      <c r="D1696" s="17"/>
      <c r="J1696" s="2" t="s">
        <v>1814</v>
      </c>
    </row>
    <row r="1697" spans="1:10" x14ac:dyDescent="0.25">
      <c r="A1697" s="18" t="s">
        <v>730</v>
      </c>
      <c r="B1697">
        <v>0.72901365810095442</v>
      </c>
      <c r="C1697" s="17">
        <f t="shared" si="26"/>
        <v>46361</v>
      </c>
      <c r="D1697" s="17"/>
      <c r="J1697" s="2" t="s">
        <v>1815</v>
      </c>
    </row>
    <row r="1698" spans="1:10" x14ac:dyDescent="0.25">
      <c r="A1698" s="18" t="s">
        <v>608</v>
      </c>
      <c r="B1698">
        <v>0.73017882593388561</v>
      </c>
      <c r="C1698" s="17">
        <f t="shared" si="26"/>
        <v>46362</v>
      </c>
      <c r="D1698" s="17"/>
      <c r="J1698" s="2" t="s">
        <v>1816</v>
      </c>
    </row>
    <row r="1699" spans="1:10" x14ac:dyDescent="0.25">
      <c r="A1699" s="18" t="s">
        <v>324</v>
      </c>
      <c r="B1699">
        <v>0.73117282720284071</v>
      </c>
      <c r="C1699" s="17">
        <f t="shared" si="26"/>
        <v>46363</v>
      </c>
      <c r="D1699" s="17"/>
      <c r="J1699" s="2" t="s">
        <v>1817</v>
      </c>
    </row>
    <row r="1700" spans="1:10" x14ac:dyDescent="0.25">
      <c r="A1700" s="18" t="s">
        <v>1468</v>
      </c>
      <c r="B1700">
        <v>0.73185984139307092</v>
      </c>
      <c r="C1700" s="17">
        <f t="shared" si="26"/>
        <v>46364</v>
      </c>
      <c r="D1700" s="17"/>
      <c r="J1700" s="2" t="s">
        <v>1818</v>
      </c>
    </row>
    <row r="1701" spans="1:10" x14ac:dyDescent="0.25">
      <c r="A1701" s="18" t="s">
        <v>695</v>
      </c>
      <c r="B1701">
        <v>0.73211789118674131</v>
      </c>
      <c r="C1701" s="17">
        <f t="shared" si="26"/>
        <v>46365</v>
      </c>
      <c r="D1701" s="17"/>
      <c r="J1701" s="2" t="s">
        <v>1819</v>
      </c>
    </row>
    <row r="1702" spans="1:10" x14ac:dyDescent="0.25">
      <c r="A1702" s="18" t="s">
        <v>2295</v>
      </c>
      <c r="B1702">
        <v>0.73217996354877379</v>
      </c>
      <c r="C1702" s="17">
        <f t="shared" si="26"/>
        <v>46366</v>
      </c>
      <c r="D1702" s="17"/>
      <c r="J1702" s="2" t="s">
        <v>1820</v>
      </c>
    </row>
    <row r="1703" spans="1:10" x14ac:dyDescent="0.25">
      <c r="A1703" s="18" t="s">
        <v>714</v>
      </c>
      <c r="B1703">
        <v>0.73220700051393406</v>
      </c>
      <c r="C1703" s="17">
        <f t="shared" si="26"/>
        <v>46367</v>
      </c>
      <c r="D1703" s="17"/>
      <c r="J1703" s="2" t="s">
        <v>1821</v>
      </c>
    </row>
    <row r="1704" spans="1:10" x14ac:dyDescent="0.25">
      <c r="A1704" s="18" t="s">
        <v>130</v>
      </c>
      <c r="B1704">
        <v>0.73276362344025947</v>
      </c>
      <c r="C1704" s="17">
        <f t="shared" si="26"/>
        <v>46368</v>
      </c>
      <c r="D1704" s="17"/>
      <c r="J1704" s="2" t="s">
        <v>1822</v>
      </c>
    </row>
    <row r="1705" spans="1:10" x14ac:dyDescent="0.25">
      <c r="A1705" s="18" t="s">
        <v>140</v>
      </c>
      <c r="B1705">
        <v>0.7346392021199023</v>
      </c>
      <c r="C1705" s="17">
        <f t="shared" si="26"/>
        <v>46369</v>
      </c>
      <c r="D1705" s="17"/>
      <c r="J1705" s="2" t="s">
        <v>1823</v>
      </c>
    </row>
    <row r="1706" spans="1:10" x14ac:dyDescent="0.25">
      <c r="A1706" s="18" t="s">
        <v>1948</v>
      </c>
      <c r="B1706">
        <v>0.73614088295950508</v>
      </c>
      <c r="C1706" s="17">
        <f t="shared" si="26"/>
        <v>46370</v>
      </c>
      <c r="D1706" s="17"/>
      <c r="J1706" s="2" t="s">
        <v>1824</v>
      </c>
    </row>
    <row r="1707" spans="1:10" x14ac:dyDescent="0.25">
      <c r="A1707" s="18" t="s">
        <v>1939</v>
      </c>
      <c r="B1707">
        <v>0.73655337342875438</v>
      </c>
      <c r="C1707" s="17">
        <f t="shared" si="26"/>
        <v>46371</v>
      </c>
      <c r="D1707" s="17"/>
      <c r="J1707" s="2" t="s">
        <v>1825</v>
      </c>
    </row>
    <row r="1708" spans="1:10" x14ac:dyDescent="0.25">
      <c r="A1708" s="18" t="s">
        <v>1370</v>
      </c>
      <c r="B1708">
        <v>0.73655620116194465</v>
      </c>
      <c r="C1708" s="17">
        <f t="shared" si="26"/>
        <v>46372</v>
      </c>
      <c r="D1708" s="17"/>
      <c r="J1708" s="2" t="s">
        <v>1826</v>
      </c>
    </row>
    <row r="1709" spans="1:10" x14ac:dyDescent="0.25">
      <c r="A1709" s="18" t="s">
        <v>123</v>
      </c>
      <c r="B1709">
        <v>0.73663387245097078</v>
      </c>
      <c r="C1709" s="17">
        <f t="shared" si="26"/>
        <v>46373</v>
      </c>
      <c r="D1709" s="17"/>
      <c r="J1709" s="2" t="s">
        <v>1827</v>
      </c>
    </row>
    <row r="1710" spans="1:10" x14ac:dyDescent="0.25">
      <c r="A1710" s="18" t="s">
        <v>2035</v>
      </c>
      <c r="B1710">
        <v>0.73671915636207463</v>
      </c>
      <c r="C1710" s="17">
        <f t="shared" si="26"/>
        <v>46374</v>
      </c>
      <c r="D1710" s="17"/>
      <c r="J1710" s="2" t="s">
        <v>178</v>
      </c>
    </row>
    <row r="1711" spans="1:10" x14ac:dyDescent="0.25">
      <c r="A1711" s="18" t="s">
        <v>313</v>
      </c>
      <c r="B1711">
        <v>0.73722001290378103</v>
      </c>
      <c r="C1711" s="17">
        <f t="shared" si="26"/>
        <v>46375</v>
      </c>
      <c r="D1711" s="17"/>
      <c r="J1711" s="2" t="s">
        <v>57</v>
      </c>
    </row>
    <row r="1712" spans="1:10" x14ac:dyDescent="0.25">
      <c r="A1712" s="18" t="s">
        <v>354</v>
      </c>
      <c r="B1712">
        <v>0.73744311444329369</v>
      </c>
      <c r="C1712" s="17">
        <f t="shared" si="26"/>
        <v>46376</v>
      </c>
      <c r="D1712" s="17"/>
      <c r="J1712" s="2" t="s">
        <v>1828</v>
      </c>
    </row>
    <row r="1713" spans="1:10" x14ac:dyDescent="0.25">
      <c r="A1713" s="18" t="s">
        <v>1361</v>
      </c>
      <c r="B1713">
        <v>0.73753030109215756</v>
      </c>
      <c r="C1713" s="17">
        <f t="shared" si="26"/>
        <v>46377</v>
      </c>
      <c r="D1713" s="17"/>
      <c r="J1713" s="2" t="s">
        <v>1829</v>
      </c>
    </row>
    <row r="1714" spans="1:10" x14ac:dyDescent="0.25">
      <c r="A1714" s="18" t="s">
        <v>1372</v>
      </c>
      <c r="B1714">
        <v>0.73860123990760784</v>
      </c>
      <c r="C1714" s="17">
        <f t="shared" si="26"/>
        <v>46378</v>
      </c>
      <c r="D1714" s="17"/>
      <c r="J1714" s="2" t="s">
        <v>1830</v>
      </c>
    </row>
    <row r="1715" spans="1:10" x14ac:dyDescent="0.25">
      <c r="A1715" s="18" t="s">
        <v>988</v>
      </c>
      <c r="B1715">
        <v>0.73903376194631454</v>
      </c>
      <c r="C1715" s="17">
        <f t="shared" si="26"/>
        <v>46379</v>
      </c>
      <c r="D1715" s="17"/>
      <c r="J1715" s="2" t="s">
        <v>1831</v>
      </c>
    </row>
    <row r="1716" spans="1:10" x14ac:dyDescent="0.25">
      <c r="A1716" s="18" t="s">
        <v>1885</v>
      </c>
      <c r="B1716">
        <v>0.73917273333233768</v>
      </c>
      <c r="C1716" s="17">
        <f t="shared" si="26"/>
        <v>46380</v>
      </c>
      <c r="D1716" s="17"/>
      <c r="J1716" s="2" t="s">
        <v>1832</v>
      </c>
    </row>
    <row r="1717" spans="1:10" x14ac:dyDescent="0.25">
      <c r="A1717" s="18" t="s">
        <v>190</v>
      </c>
      <c r="B1717">
        <v>0.73935786268258386</v>
      </c>
      <c r="C1717" s="17">
        <f t="shared" si="26"/>
        <v>46381</v>
      </c>
      <c r="D1717" s="17"/>
      <c r="J1717" s="2" t="s">
        <v>1833</v>
      </c>
    </row>
    <row r="1718" spans="1:10" x14ac:dyDescent="0.25">
      <c r="A1718" s="18" t="s">
        <v>1592</v>
      </c>
      <c r="B1718">
        <v>0.7395903452816619</v>
      </c>
      <c r="C1718" s="17">
        <f t="shared" si="26"/>
        <v>46382</v>
      </c>
      <c r="D1718" s="17"/>
      <c r="J1718" s="2" t="s">
        <v>291</v>
      </c>
    </row>
    <row r="1719" spans="1:10" x14ac:dyDescent="0.25">
      <c r="A1719" s="18" t="s">
        <v>79</v>
      </c>
      <c r="B1719">
        <v>0.73965130278680147</v>
      </c>
      <c r="C1719" s="17">
        <f t="shared" si="26"/>
        <v>46383</v>
      </c>
      <c r="D1719" s="17"/>
      <c r="J1719" s="2" t="s">
        <v>393</v>
      </c>
    </row>
    <row r="1720" spans="1:10" x14ac:dyDescent="0.25">
      <c r="A1720" s="18" t="s">
        <v>98</v>
      </c>
      <c r="B1720">
        <v>0.74002253057999845</v>
      </c>
      <c r="C1720" s="17">
        <f t="shared" si="26"/>
        <v>46384</v>
      </c>
      <c r="D1720" s="17"/>
      <c r="J1720" s="2" t="s">
        <v>1834</v>
      </c>
    </row>
    <row r="1721" spans="1:10" x14ac:dyDescent="0.25">
      <c r="A1721" s="18" t="s">
        <v>1013</v>
      </c>
      <c r="B1721">
        <v>0.74024765790616731</v>
      </c>
      <c r="C1721" s="17">
        <f t="shared" si="26"/>
        <v>46385</v>
      </c>
      <c r="D1721" s="17"/>
      <c r="J1721" s="2" t="s">
        <v>395</v>
      </c>
    </row>
    <row r="1722" spans="1:10" x14ac:dyDescent="0.25">
      <c r="A1722" s="18" t="s">
        <v>489</v>
      </c>
      <c r="B1722">
        <v>0.74040209796932566</v>
      </c>
      <c r="C1722" s="17">
        <f t="shared" si="26"/>
        <v>46386</v>
      </c>
      <c r="D1722" s="17"/>
      <c r="J1722" s="2" t="s">
        <v>1835</v>
      </c>
    </row>
    <row r="1723" spans="1:10" x14ac:dyDescent="0.25">
      <c r="A1723" s="18" t="s">
        <v>1645</v>
      </c>
      <c r="B1723">
        <v>0.74138393934709967</v>
      </c>
      <c r="C1723" s="17">
        <f t="shared" si="26"/>
        <v>46387</v>
      </c>
      <c r="D1723" s="17"/>
      <c r="J1723" s="2" t="s">
        <v>1836</v>
      </c>
    </row>
    <row r="1724" spans="1:10" x14ac:dyDescent="0.25">
      <c r="A1724" s="18" t="s">
        <v>793</v>
      </c>
      <c r="B1724">
        <v>0.74176161281583419</v>
      </c>
      <c r="C1724" s="17">
        <f t="shared" si="26"/>
        <v>46388</v>
      </c>
      <c r="D1724" s="17"/>
      <c r="J1724" s="2" t="s">
        <v>1837</v>
      </c>
    </row>
    <row r="1725" spans="1:10" x14ac:dyDescent="0.25">
      <c r="A1725" s="18" t="s">
        <v>2301</v>
      </c>
      <c r="B1725">
        <v>0.74192052371068118</v>
      </c>
      <c r="C1725" s="17">
        <f t="shared" si="26"/>
        <v>46389</v>
      </c>
      <c r="D1725" s="17"/>
      <c r="J1725" s="2" t="s">
        <v>175</v>
      </c>
    </row>
    <row r="1726" spans="1:10" x14ac:dyDescent="0.25">
      <c r="A1726" s="18" t="s">
        <v>1065</v>
      </c>
      <c r="B1726">
        <v>0.74200511191668017</v>
      </c>
      <c r="C1726" s="17">
        <f t="shared" si="26"/>
        <v>46390</v>
      </c>
      <c r="D1726" s="17"/>
      <c r="J1726" s="2" t="s">
        <v>1838</v>
      </c>
    </row>
    <row r="1727" spans="1:10" x14ac:dyDescent="0.25">
      <c r="A1727" s="18" t="s">
        <v>2140</v>
      </c>
      <c r="B1727">
        <v>0.74235319567540803</v>
      </c>
      <c r="C1727" s="17">
        <f t="shared" si="26"/>
        <v>46391</v>
      </c>
      <c r="D1727" s="17"/>
      <c r="J1727" s="2" t="s">
        <v>1839</v>
      </c>
    </row>
    <row r="1728" spans="1:10" x14ac:dyDescent="0.25">
      <c r="A1728" s="18" t="s">
        <v>1097</v>
      </c>
      <c r="B1728">
        <v>0.7424432428176384</v>
      </c>
      <c r="C1728" s="17">
        <f t="shared" si="26"/>
        <v>46392</v>
      </c>
      <c r="D1728" s="17"/>
      <c r="J1728" s="2" t="s">
        <v>413</v>
      </c>
    </row>
    <row r="1729" spans="1:10" x14ac:dyDescent="0.25">
      <c r="A1729" s="18" t="s">
        <v>2192</v>
      </c>
      <c r="B1729">
        <v>0.74340416327828984</v>
      </c>
      <c r="C1729" s="17">
        <f t="shared" si="26"/>
        <v>46393</v>
      </c>
      <c r="D1729" s="17"/>
      <c r="J1729" s="2" t="s">
        <v>1840</v>
      </c>
    </row>
    <row r="1730" spans="1:10" x14ac:dyDescent="0.25">
      <c r="A1730" s="18" t="s">
        <v>1012</v>
      </c>
      <c r="B1730">
        <v>0.74390795300565538</v>
      </c>
      <c r="C1730" s="17">
        <f t="shared" si="26"/>
        <v>46394</v>
      </c>
      <c r="D1730" s="17"/>
      <c r="J1730" s="2" t="s">
        <v>59</v>
      </c>
    </row>
    <row r="1731" spans="1:10" x14ac:dyDescent="0.25">
      <c r="A1731" s="18" t="s">
        <v>621</v>
      </c>
      <c r="B1731">
        <v>0.74394608321803057</v>
      </c>
      <c r="C1731" s="17">
        <f t="shared" si="26"/>
        <v>46395</v>
      </c>
      <c r="D1731" s="17"/>
      <c r="J1731" s="2" t="s">
        <v>1841</v>
      </c>
    </row>
    <row r="1732" spans="1:10" x14ac:dyDescent="0.25">
      <c r="A1732" s="18" t="s">
        <v>1397</v>
      </c>
      <c r="B1732">
        <v>0.74405296861410464</v>
      </c>
      <c r="C1732" s="17">
        <f t="shared" ref="C1732:C1795" si="27">C1731+1</f>
        <v>46396</v>
      </c>
      <c r="D1732" s="17"/>
      <c r="J1732" s="2" t="s">
        <v>1842</v>
      </c>
    </row>
    <row r="1733" spans="1:10" x14ac:dyDescent="0.25">
      <c r="A1733" s="18" t="s">
        <v>1851</v>
      </c>
      <c r="B1733">
        <v>0.74414673357875871</v>
      </c>
      <c r="C1733" s="17">
        <f t="shared" si="27"/>
        <v>46397</v>
      </c>
      <c r="D1733" s="17"/>
      <c r="J1733" s="2" t="s">
        <v>1843</v>
      </c>
    </row>
    <row r="1734" spans="1:10" x14ac:dyDescent="0.25">
      <c r="A1734" s="18" t="s">
        <v>334</v>
      </c>
      <c r="B1734">
        <v>0.74476875640121321</v>
      </c>
      <c r="C1734" s="17">
        <f t="shared" si="27"/>
        <v>46398</v>
      </c>
      <c r="D1734" s="17"/>
      <c r="J1734" s="2" t="s">
        <v>181</v>
      </c>
    </row>
    <row r="1735" spans="1:10" x14ac:dyDescent="0.25">
      <c r="A1735" s="18" t="s">
        <v>212</v>
      </c>
      <c r="B1735">
        <v>0.74521257526065787</v>
      </c>
      <c r="C1735" s="17">
        <f t="shared" si="27"/>
        <v>46399</v>
      </c>
      <c r="D1735" s="17"/>
      <c r="J1735" s="2" t="s">
        <v>1844</v>
      </c>
    </row>
    <row r="1736" spans="1:10" x14ac:dyDescent="0.25">
      <c r="A1736" s="18" t="s">
        <v>1235</v>
      </c>
      <c r="B1736">
        <v>0.74543274039167207</v>
      </c>
      <c r="C1736" s="17">
        <f t="shared" si="27"/>
        <v>46400</v>
      </c>
      <c r="D1736" s="17"/>
      <c r="J1736" s="2" t="s">
        <v>225</v>
      </c>
    </row>
    <row r="1737" spans="1:10" x14ac:dyDescent="0.25">
      <c r="A1737" s="18" t="s">
        <v>852</v>
      </c>
      <c r="B1737">
        <v>0.74678451252053002</v>
      </c>
      <c r="C1737" s="17">
        <f t="shared" si="27"/>
        <v>46401</v>
      </c>
      <c r="D1737" s="17"/>
      <c r="J1737" s="2" t="s">
        <v>1845</v>
      </c>
    </row>
    <row r="1738" spans="1:10" x14ac:dyDescent="0.25">
      <c r="A1738" s="18" t="s">
        <v>311</v>
      </c>
      <c r="B1738">
        <v>0.7468324352086736</v>
      </c>
      <c r="C1738" s="17">
        <f t="shared" si="27"/>
        <v>46402</v>
      </c>
      <c r="D1738" s="17"/>
      <c r="J1738" s="2" t="s">
        <v>1846</v>
      </c>
    </row>
    <row r="1739" spans="1:10" x14ac:dyDescent="0.25">
      <c r="A1739" s="18" t="s">
        <v>2219</v>
      </c>
      <c r="B1739">
        <v>0.74698819949234962</v>
      </c>
      <c r="C1739" s="17">
        <f t="shared" si="27"/>
        <v>46403</v>
      </c>
      <c r="D1739" s="17"/>
      <c r="J1739" s="2" t="s">
        <v>1847</v>
      </c>
    </row>
    <row r="1740" spans="1:10" x14ac:dyDescent="0.25">
      <c r="A1740" s="18" t="s">
        <v>737</v>
      </c>
      <c r="B1740">
        <v>0.74708664754992282</v>
      </c>
      <c r="C1740" s="17">
        <f t="shared" si="27"/>
        <v>46404</v>
      </c>
      <c r="D1740" s="17"/>
      <c r="J1740" s="2" t="s">
        <v>1848</v>
      </c>
    </row>
    <row r="1741" spans="1:10" x14ac:dyDescent="0.25">
      <c r="A1741" s="18" t="s">
        <v>21</v>
      </c>
      <c r="B1741">
        <v>0.74740368159615744</v>
      </c>
      <c r="C1741" s="17">
        <f t="shared" si="27"/>
        <v>46405</v>
      </c>
      <c r="D1741" s="17"/>
      <c r="J1741" s="2" t="s">
        <v>1849</v>
      </c>
    </row>
    <row r="1742" spans="1:10" x14ac:dyDescent="0.25">
      <c r="A1742" s="18" t="s">
        <v>2028</v>
      </c>
      <c r="B1742">
        <v>0.74772721496264538</v>
      </c>
      <c r="C1742" s="17">
        <f t="shared" si="27"/>
        <v>46406</v>
      </c>
      <c r="D1742" s="17"/>
      <c r="J1742" s="2" t="s">
        <v>145</v>
      </c>
    </row>
    <row r="1743" spans="1:10" x14ac:dyDescent="0.25">
      <c r="A1743" s="18" t="s">
        <v>990</v>
      </c>
      <c r="B1743">
        <v>0.74841414581183385</v>
      </c>
      <c r="C1743" s="17">
        <f t="shared" si="27"/>
        <v>46407</v>
      </c>
      <c r="D1743" s="17"/>
      <c r="J1743" s="2" t="s">
        <v>322</v>
      </c>
    </row>
    <row r="1744" spans="1:10" x14ac:dyDescent="0.25">
      <c r="A1744" s="18" t="s">
        <v>2085</v>
      </c>
      <c r="B1744">
        <v>0.74845468295840689</v>
      </c>
      <c r="C1744" s="17">
        <f t="shared" si="27"/>
        <v>46408</v>
      </c>
      <c r="D1744" s="17"/>
      <c r="J1744" s="2" t="s">
        <v>164</v>
      </c>
    </row>
    <row r="1745" spans="1:10" x14ac:dyDescent="0.25">
      <c r="A1745" s="18" t="s">
        <v>829</v>
      </c>
      <c r="B1745">
        <v>0.749031798321102</v>
      </c>
      <c r="C1745" s="17">
        <f t="shared" si="27"/>
        <v>46409</v>
      </c>
      <c r="D1745" s="17"/>
      <c r="J1745" s="2" t="s">
        <v>1850</v>
      </c>
    </row>
    <row r="1746" spans="1:10" x14ac:dyDescent="0.25">
      <c r="A1746" s="18" t="s">
        <v>2259</v>
      </c>
      <c r="B1746">
        <v>0.74934327236521914</v>
      </c>
      <c r="C1746" s="17">
        <f t="shared" si="27"/>
        <v>46410</v>
      </c>
      <c r="D1746" s="17"/>
      <c r="J1746" s="2" t="s">
        <v>213</v>
      </c>
    </row>
    <row r="1747" spans="1:10" x14ac:dyDescent="0.25">
      <c r="A1747" s="18" t="s">
        <v>357</v>
      </c>
      <c r="B1747">
        <v>0.74957023796206712</v>
      </c>
      <c r="C1747" s="17">
        <f t="shared" si="27"/>
        <v>46411</v>
      </c>
      <c r="D1747" s="17"/>
      <c r="J1747" s="2" t="s">
        <v>1851</v>
      </c>
    </row>
    <row r="1748" spans="1:10" x14ac:dyDescent="0.25">
      <c r="A1748" s="18" t="s">
        <v>1120</v>
      </c>
      <c r="B1748">
        <v>0.75027974344826842</v>
      </c>
      <c r="C1748" s="17">
        <f t="shared" si="27"/>
        <v>46412</v>
      </c>
      <c r="D1748" s="17"/>
      <c r="J1748" s="2" t="s">
        <v>1852</v>
      </c>
    </row>
    <row r="1749" spans="1:10" x14ac:dyDescent="0.25">
      <c r="A1749" s="18" t="s">
        <v>383</v>
      </c>
      <c r="B1749">
        <v>0.75081186170873737</v>
      </c>
      <c r="C1749" s="17">
        <f t="shared" si="27"/>
        <v>46413</v>
      </c>
      <c r="D1749" s="17"/>
      <c r="J1749" s="2" t="s">
        <v>1853</v>
      </c>
    </row>
    <row r="1750" spans="1:10" x14ac:dyDescent="0.25">
      <c r="A1750" s="18" t="s">
        <v>1015</v>
      </c>
      <c r="B1750">
        <v>0.75099460935120332</v>
      </c>
      <c r="C1750" s="17">
        <f t="shared" si="27"/>
        <v>46414</v>
      </c>
      <c r="D1750" s="17"/>
      <c r="J1750" s="2" t="s">
        <v>1854</v>
      </c>
    </row>
    <row r="1751" spans="1:10" x14ac:dyDescent="0.25">
      <c r="A1751" s="18" t="s">
        <v>1583</v>
      </c>
      <c r="B1751">
        <v>0.75109018849459519</v>
      </c>
      <c r="C1751" s="17">
        <f t="shared" si="27"/>
        <v>46415</v>
      </c>
      <c r="D1751" s="17"/>
      <c r="J1751" s="2" t="s">
        <v>350</v>
      </c>
    </row>
    <row r="1752" spans="1:10" x14ac:dyDescent="0.25">
      <c r="A1752" s="18" t="s">
        <v>846</v>
      </c>
      <c r="B1752">
        <v>0.75176668763216725</v>
      </c>
      <c r="C1752" s="17">
        <f t="shared" si="27"/>
        <v>46416</v>
      </c>
      <c r="D1752" s="17"/>
      <c r="J1752" s="2" t="s">
        <v>1855</v>
      </c>
    </row>
    <row r="1753" spans="1:10" x14ac:dyDescent="0.25">
      <c r="A1753" s="18" t="s">
        <v>1878</v>
      </c>
      <c r="B1753">
        <v>0.75189266895831752</v>
      </c>
      <c r="C1753" s="17">
        <f t="shared" si="27"/>
        <v>46417</v>
      </c>
      <c r="D1753" s="17"/>
      <c r="J1753" s="2" t="s">
        <v>1856</v>
      </c>
    </row>
    <row r="1754" spans="1:10" x14ac:dyDescent="0.25">
      <c r="A1754" s="18" t="s">
        <v>466</v>
      </c>
      <c r="B1754">
        <v>0.75447139564804966</v>
      </c>
      <c r="C1754" s="17">
        <f t="shared" si="27"/>
        <v>46418</v>
      </c>
      <c r="D1754" s="17"/>
      <c r="J1754" s="2" t="s">
        <v>1857</v>
      </c>
    </row>
    <row r="1755" spans="1:10" x14ac:dyDescent="0.25">
      <c r="A1755" s="18" t="s">
        <v>1904</v>
      </c>
      <c r="B1755">
        <v>0.7545145957540933</v>
      </c>
      <c r="C1755" s="17">
        <f t="shared" si="27"/>
        <v>46419</v>
      </c>
      <c r="D1755" s="17"/>
      <c r="J1755" s="2" t="s">
        <v>1858</v>
      </c>
    </row>
    <row r="1756" spans="1:10" x14ac:dyDescent="0.25">
      <c r="A1756" s="18" t="s">
        <v>1291</v>
      </c>
      <c r="B1756">
        <v>0.75465727450806996</v>
      </c>
      <c r="C1756" s="17">
        <f t="shared" si="27"/>
        <v>46420</v>
      </c>
      <c r="D1756" s="17"/>
      <c r="J1756" s="2" t="s">
        <v>1859</v>
      </c>
    </row>
    <row r="1757" spans="1:10" x14ac:dyDescent="0.25">
      <c r="A1757" s="18" t="s">
        <v>1839</v>
      </c>
      <c r="B1757">
        <v>0.7546728288044946</v>
      </c>
      <c r="C1757" s="17">
        <f t="shared" si="27"/>
        <v>46421</v>
      </c>
      <c r="D1757" s="17"/>
      <c r="J1757" s="2" t="s">
        <v>1860</v>
      </c>
    </row>
    <row r="1758" spans="1:10" x14ac:dyDescent="0.25">
      <c r="A1758" s="18" t="s">
        <v>1439</v>
      </c>
      <c r="B1758">
        <v>0.75539001089215885</v>
      </c>
      <c r="C1758" s="17">
        <f t="shared" si="27"/>
        <v>46422</v>
      </c>
      <c r="D1758" s="17"/>
      <c r="J1758" s="2" t="s">
        <v>1861</v>
      </c>
    </row>
    <row r="1759" spans="1:10" x14ac:dyDescent="0.25">
      <c r="A1759" s="18" t="s">
        <v>819</v>
      </c>
      <c r="B1759">
        <v>0.7556167240930306</v>
      </c>
      <c r="C1759" s="17">
        <f t="shared" si="27"/>
        <v>46423</v>
      </c>
      <c r="D1759" s="17"/>
      <c r="J1759" s="2" t="s">
        <v>238</v>
      </c>
    </row>
    <row r="1760" spans="1:10" x14ac:dyDescent="0.25">
      <c r="A1760" s="18" t="s">
        <v>4</v>
      </c>
      <c r="B1760">
        <v>0.7559663075615235</v>
      </c>
      <c r="C1760" s="17">
        <f t="shared" si="27"/>
        <v>46424</v>
      </c>
      <c r="D1760" s="17"/>
      <c r="J1760" s="2" t="s">
        <v>1862</v>
      </c>
    </row>
    <row r="1761" spans="1:10" x14ac:dyDescent="0.25">
      <c r="A1761" s="18" t="s">
        <v>413</v>
      </c>
      <c r="B1761">
        <v>0.75700997608360376</v>
      </c>
      <c r="C1761" s="17">
        <f t="shared" si="27"/>
        <v>46425</v>
      </c>
      <c r="D1761" s="17"/>
      <c r="J1761" s="2" t="s">
        <v>1863</v>
      </c>
    </row>
    <row r="1762" spans="1:10" x14ac:dyDescent="0.25">
      <c r="A1762" s="18" t="s">
        <v>14</v>
      </c>
      <c r="B1762">
        <v>0.75739333250942953</v>
      </c>
      <c r="C1762" s="17">
        <f t="shared" si="27"/>
        <v>46426</v>
      </c>
      <c r="D1762" s="17"/>
      <c r="J1762" s="2" t="s">
        <v>1864</v>
      </c>
    </row>
    <row r="1763" spans="1:10" x14ac:dyDescent="0.25">
      <c r="A1763" s="18" t="s">
        <v>148</v>
      </c>
      <c r="B1763">
        <v>0.75749040950465696</v>
      </c>
      <c r="C1763" s="17">
        <f t="shared" si="27"/>
        <v>46427</v>
      </c>
      <c r="D1763" s="17"/>
      <c r="J1763" s="2" t="s">
        <v>128</v>
      </c>
    </row>
    <row r="1764" spans="1:10" x14ac:dyDescent="0.25">
      <c r="A1764" s="18" t="s">
        <v>2070</v>
      </c>
      <c r="B1764">
        <v>0.75763941275568192</v>
      </c>
      <c r="C1764" s="17">
        <f t="shared" si="27"/>
        <v>46428</v>
      </c>
      <c r="D1764" s="17"/>
      <c r="J1764" s="2" t="s">
        <v>1865</v>
      </c>
    </row>
    <row r="1765" spans="1:10" x14ac:dyDescent="0.25">
      <c r="A1765" s="18" t="s">
        <v>1040</v>
      </c>
      <c r="B1765">
        <v>0.75800343632447986</v>
      </c>
      <c r="C1765" s="17">
        <f t="shared" si="27"/>
        <v>46429</v>
      </c>
      <c r="D1765" s="17"/>
      <c r="J1765" s="2" t="s">
        <v>447</v>
      </c>
    </row>
    <row r="1766" spans="1:10" x14ac:dyDescent="0.25">
      <c r="A1766" s="18" t="s">
        <v>473</v>
      </c>
      <c r="B1766">
        <v>0.75838478414255905</v>
      </c>
      <c r="C1766" s="17">
        <f t="shared" si="27"/>
        <v>46430</v>
      </c>
      <c r="D1766" s="17"/>
      <c r="J1766" s="2" t="s">
        <v>1866</v>
      </c>
    </row>
    <row r="1767" spans="1:10" x14ac:dyDescent="0.25">
      <c r="A1767" s="18" t="s">
        <v>1820</v>
      </c>
      <c r="B1767">
        <v>0.75876685904737984</v>
      </c>
      <c r="C1767" s="17">
        <f t="shared" si="27"/>
        <v>46431</v>
      </c>
      <c r="D1767" s="17"/>
      <c r="J1767" s="2" t="s">
        <v>1867</v>
      </c>
    </row>
    <row r="1768" spans="1:10" x14ac:dyDescent="0.25">
      <c r="A1768" s="18" t="s">
        <v>1169</v>
      </c>
      <c r="B1768">
        <v>0.75878846397544952</v>
      </c>
      <c r="C1768" s="17">
        <f t="shared" si="27"/>
        <v>46432</v>
      </c>
      <c r="D1768" s="17"/>
      <c r="J1768" s="2" t="s">
        <v>1868</v>
      </c>
    </row>
    <row r="1769" spans="1:10" x14ac:dyDescent="0.25">
      <c r="A1769" s="18" t="s">
        <v>704</v>
      </c>
      <c r="B1769">
        <v>0.75903024916422823</v>
      </c>
      <c r="C1769" s="17">
        <f t="shared" si="27"/>
        <v>46433</v>
      </c>
      <c r="D1769" s="17"/>
      <c r="J1769" s="2" t="s">
        <v>1869</v>
      </c>
    </row>
    <row r="1770" spans="1:10" x14ac:dyDescent="0.25">
      <c r="A1770" s="18" t="s">
        <v>1342</v>
      </c>
      <c r="B1770">
        <v>0.75939801234569582</v>
      </c>
      <c r="C1770" s="17">
        <f t="shared" si="27"/>
        <v>46434</v>
      </c>
      <c r="D1770" s="17"/>
      <c r="J1770" s="2" t="s">
        <v>1870</v>
      </c>
    </row>
    <row r="1771" spans="1:10" x14ac:dyDescent="0.25">
      <c r="A1771" s="18" t="s">
        <v>337</v>
      </c>
      <c r="B1771">
        <v>0.75952385790511501</v>
      </c>
      <c r="C1771" s="17">
        <f t="shared" si="27"/>
        <v>46435</v>
      </c>
      <c r="D1771" s="17"/>
      <c r="J1771" s="2" t="s">
        <v>1871</v>
      </c>
    </row>
    <row r="1772" spans="1:10" x14ac:dyDescent="0.25">
      <c r="A1772" s="18" t="s">
        <v>1861</v>
      </c>
      <c r="B1772">
        <v>0.75957793544017382</v>
      </c>
      <c r="C1772" s="17">
        <f t="shared" si="27"/>
        <v>46436</v>
      </c>
      <c r="D1772" s="17"/>
      <c r="J1772" s="2" t="s">
        <v>1872</v>
      </c>
    </row>
    <row r="1773" spans="1:10" x14ac:dyDescent="0.25">
      <c r="A1773" s="18" t="s">
        <v>1145</v>
      </c>
      <c r="B1773">
        <v>0.75975480964924624</v>
      </c>
      <c r="C1773" s="17">
        <f t="shared" si="27"/>
        <v>46437</v>
      </c>
      <c r="D1773" s="17"/>
      <c r="J1773" s="2" t="s">
        <v>1873</v>
      </c>
    </row>
    <row r="1774" spans="1:10" x14ac:dyDescent="0.25">
      <c r="A1774" s="18" t="s">
        <v>654</v>
      </c>
      <c r="B1774">
        <v>0.75982766353565101</v>
      </c>
      <c r="C1774" s="17">
        <f t="shared" si="27"/>
        <v>46438</v>
      </c>
      <c r="D1774" s="17"/>
      <c r="J1774" s="2" t="s">
        <v>1874</v>
      </c>
    </row>
    <row r="1775" spans="1:10" x14ac:dyDescent="0.25">
      <c r="A1775" s="18" t="s">
        <v>1643</v>
      </c>
      <c r="B1775">
        <v>0.76005169058853683</v>
      </c>
      <c r="C1775" s="17">
        <f t="shared" si="27"/>
        <v>46439</v>
      </c>
      <c r="D1775" s="17"/>
      <c r="J1775" s="2" t="s">
        <v>1875</v>
      </c>
    </row>
    <row r="1776" spans="1:10" x14ac:dyDescent="0.25">
      <c r="A1776" s="18" t="s">
        <v>635</v>
      </c>
      <c r="B1776">
        <v>0.76047011770841777</v>
      </c>
      <c r="C1776" s="17">
        <f t="shared" si="27"/>
        <v>46440</v>
      </c>
      <c r="D1776" s="17"/>
      <c r="J1776" s="2" t="s">
        <v>1876</v>
      </c>
    </row>
    <row r="1777" spans="1:10" x14ac:dyDescent="0.25">
      <c r="A1777" s="18" t="s">
        <v>297</v>
      </c>
      <c r="B1777">
        <v>0.76077247662116865</v>
      </c>
      <c r="C1777" s="17">
        <f t="shared" si="27"/>
        <v>46441</v>
      </c>
      <c r="D1777" s="17"/>
      <c r="J1777" s="2" t="s">
        <v>1877</v>
      </c>
    </row>
    <row r="1778" spans="1:10" x14ac:dyDescent="0.25">
      <c r="A1778" s="18" t="s">
        <v>2177</v>
      </c>
      <c r="B1778">
        <v>0.76116440329727786</v>
      </c>
      <c r="C1778" s="17">
        <f t="shared" si="27"/>
        <v>46442</v>
      </c>
      <c r="D1778" s="17"/>
      <c r="J1778" s="2" t="s">
        <v>426</v>
      </c>
    </row>
    <row r="1779" spans="1:10" x14ac:dyDescent="0.25">
      <c r="A1779" s="18" t="s">
        <v>1064</v>
      </c>
      <c r="B1779">
        <v>0.76128956766985356</v>
      </c>
      <c r="C1779" s="17">
        <f t="shared" si="27"/>
        <v>46443</v>
      </c>
      <c r="D1779" s="17"/>
      <c r="J1779" s="2" t="s">
        <v>1878</v>
      </c>
    </row>
    <row r="1780" spans="1:10" x14ac:dyDescent="0.25">
      <c r="A1780" s="18" t="s">
        <v>1526</v>
      </c>
      <c r="B1780">
        <v>0.76175190407110815</v>
      </c>
      <c r="C1780" s="17">
        <f t="shared" si="27"/>
        <v>46444</v>
      </c>
      <c r="D1780" s="17"/>
      <c r="J1780" s="2" t="s">
        <v>118</v>
      </c>
    </row>
    <row r="1781" spans="1:10" x14ac:dyDescent="0.25">
      <c r="A1781" s="18" t="s">
        <v>1467</v>
      </c>
      <c r="B1781">
        <v>0.76229146333253373</v>
      </c>
      <c r="C1781" s="17">
        <f t="shared" si="27"/>
        <v>46445</v>
      </c>
      <c r="D1781" s="17"/>
      <c r="J1781" s="2" t="s">
        <v>42</v>
      </c>
    </row>
    <row r="1782" spans="1:10" x14ac:dyDescent="0.25">
      <c r="A1782" s="18" t="s">
        <v>142</v>
      </c>
      <c r="B1782">
        <v>0.76231135537854755</v>
      </c>
      <c r="C1782" s="17">
        <f t="shared" si="27"/>
        <v>46446</v>
      </c>
      <c r="D1782" s="17"/>
      <c r="J1782" s="2" t="s">
        <v>1879</v>
      </c>
    </row>
    <row r="1783" spans="1:10" x14ac:dyDescent="0.25">
      <c r="A1783" s="18" t="s">
        <v>1095</v>
      </c>
      <c r="B1783">
        <v>0.76234981868912532</v>
      </c>
      <c r="C1783" s="17">
        <f t="shared" si="27"/>
        <v>46447</v>
      </c>
      <c r="D1783" s="17"/>
      <c r="J1783" s="2" t="s">
        <v>1880</v>
      </c>
    </row>
    <row r="1784" spans="1:10" x14ac:dyDescent="0.25">
      <c r="A1784" s="18" t="s">
        <v>263</v>
      </c>
      <c r="B1784">
        <v>0.76275499633566191</v>
      </c>
      <c r="C1784" s="17">
        <f t="shared" si="27"/>
        <v>46448</v>
      </c>
      <c r="D1784" s="17"/>
      <c r="J1784" s="2" t="s">
        <v>1881</v>
      </c>
    </row>
    <row r="1785" spans="1:10" x14ac:dyDescent="0.25">
      <c r="A1785" s="18" t="s">
        <v>2164</v>
      </c>
      <c r="B1785">
        <v>0.76384519897828285</v>
      </c>
      <c r="C1785" s="17">
        <f t="shared" si="27"/>
        <v>46449</v>
      </c>
      <c r="D1785" s="17"/>
      <c r="J1785" s="2" t="s">
        <v>1882</v>
      </c>
    </row>
    <row r="1786" spans="1:10" x14ac:dyDescent="0.25">
      <c r="A1786" s="18" t="s">
        <v>40</v>
      </c>
      <c r="B1786">
        <v>0.76386745919489485</v>
      </c>
      <c r="C1786" s="17">
        <f t="shared" si="27"/>
        <v>46450</v>
      </c>
      <c r="D1786" s="17"/>
      <c r="J1786" s="2" t="s">
        <v>1883</v>
      </c>
    </row>
    <row r="1787" spans="1:10" x14ac:dyDescent="0.25">
      <c r="A1787" s="18" t="s">
        <v>534</v>
      </c>
      <c r="B1787">
        <v>0.7638715489768142</v>
      </c>
      <c r="C1787" s="17">
        <f t="shared" si="27"/>
        <v>46451</v>
      </c>
      <c r="D1787" s="17"/>
      <c r="J1787" s="2" t="s">
        <v>1884</v>
      </c>
    </row>
    <row r="1788" spans="1:10" x14ac:dyDescent="0.25">
      <c r="A1788" s="18" t="s">
        <v>68</v>
      </c>
      <c r="B1788">
        <v>0.763987643339478</v>
      </c>
      <c r="C1788" s="17">
        <f t="shared" si="27"/>
        <v>46452</v>
      </c>
      <c r="D1788" s="17"/>
      <c r="J1788" s="2" t="s">
        <v>89</v>
      </c>
    </row>
    <row r="1789" spans="1:10" x14ac:dyDescent="0.25">
      <c r="A1789" s="18" t="s">
        <v>2029</v>
      </c>
      <c r="B1789">
        <v>0.7642875530525155</v>
      </c>
      <c r="C1789" s="17">
        <f t="shared" si="27"/>
        <v>46453</v>
      </c>
      <c r="D1789" s="17"/>
      <c r="J1789" s="2" t="s">
        <v>311</v>
      </c>
    </row>
    <row r="1790" spans="1:10" x14ac:dyDescent="0.25">
      <c r="A1790" s="18" t="s">
        <v>243</v>
      </c>
      <c r="B1790">
        <v>0.76534729161929793</v>
      </c>
      <c r="C1790" s="17">
        <f t="shared" si="27"/>
        <v>46454</v>
      </c>
      <c r="D1790" s="17"/>
      <c r="J1790" s="2" t="s">
        <v>451</v>
      </c>
    </row>
    <row r="1791" spans="1:10" x14ac:dyDescent="0.25">
      <c r="A1791" s="18" t="s">
        <v>74</v>
      </c>
      <c r="B1791">
        <v>0.76583641129216729</v>
      </c>
      <c r="C1791" s="17">
        <f t="shared" si="27"/>
        <v>46455</v>
      </c>
      <c r="D1791" s="17"/>
      <c r="J1791" s="2" t="s">
        <v>1885</v>
      </c>
    </row>
    <row r="1792" spans="1:10" x14ac:dyDescent="0.25">
      <c r="A1792" s="18" t="s">
        <v>1998</v>
      </c>
      <c r="B1792">
        <v>0.76630563319399447</v>
      </c>
      <c r="C1792" s="17">
        <f t="shared" si="27"/>
        <v>46456</v>
      </c>
      <c r="D1792" s="17"/>
      <c r="J1792" s="2" t="s">
        <v>1886</v>
      </c>
    </row>
    <row r="1793" spans="1:10" x14ac:dyDescent="0.25">
      <c r="A1793" s="18" t="s">
        <v>787</v>
      </c>
      <c r="B1793">
        <v>0.7666240026751564</v>
      </c>
      <c r="C1793" s="17">
        <f t="shared" si="27"/>
        <v>46457</v>
      </c>
      <c r="D1793" s="17"/>
      <c r="J1793" s="2" t="s">
        <v>384</v>
      </c>
    </row>
    <row r="1794" spans="1:10" x14ac:dyDescent="0.25">
      <c r="A1794" s="18" t="s">
        <v>1187</v>
      </c>
      <c r="B1794">
        <v>0.76674509141694269</v>
      </c>
      <c r="C1794" s="17">
        <f t="shared" si="27"/>
        <v>46458</v>
      </c>
      <c r="D1794" s="17"/>
      <c r="J1794" s="2" t="s">
        <v>96</v>
      </c>
    </row>
    <row r="1795" spans="1:10" x14ac:dyDescent="0.25">
      <c r="A1795" s="18" t="s">
        <v>1621</v>
      </c>
      <c r="B1795">
        <v>0.76732260923739815</v>
      </c>
      <c r="C1795" s="17">
        <f t="shared" si="27"/>
        <v>46459</v>
      </c>
      <c r="D1795" s="17"/>
      <c r="J1795" s="2" t="s">
        <v>1887</v>
      </c>
    </row>
    <row r="1796" spans="1:10" x14ac:dyDescent="0.25">
      <c r="A1796" s="18" t="s">
        <v>185</v>
      </c>
      <c r="B1796">
        <v>0.76746787202387956</v>
      </c>
      <c r="C1796" s="17">
        <f t="shared" ref="C1796:C1859" si="28">C1795+1</f>
        <v>46460</v>
      </c>
      <c r="D1796" s="17"/>
      <c r="J1796" s="2" t="s">
        <v>1888</v>
      </c>
    </row>
    <row r="1797" spans="1:10" x14ac:dyDescent="0.25">
      <c r="A1797" s="18" t="s">
        <v>338</v>
      </c>
      <c r="B1797">
        <v>0.76797111550642361</v>
      </c>
      <c r="C1797" s="17">
        <f t="shared" si="28"/>
        <v>46461</v>
      </c>
      <c r="D1797" s="17"/>
      <c r="J1797" s="2" t="s">
        <v>1889</v>
      </c>
    </row>
    <row r="1798" spans="1:10" x14ac:dyDescent="0.25">
      <c r="A1798" s="18" t="s">
        <v>283</v>
      </c>
      <c r="B1798">
        <v>0.76797173463970048</v>
      </c>
      <c r="C1798" s="17">
        <f t="shared" si="28"/>
        <v>46462</v>
      </c>
      <c r="D1798" s="17"/>
      <c r="J1798" s="2" t="s">
        <v>1890</v>
      </c>
    </row>
    <row r="1799" spans="1:10" x14ac:dyDescent="0.25">
      <c r="A1799" s="18" t="s">
        <v>439</v>
      </c>
      <c r="B1799">
        <v>0.7688779097416395</v>
      </c>
      <c r="C1799" s="17">
        <f t="shared" si="28"/>
        <v>46463</v>
      </c>
      <c r="D1799" s="17"/>
      <c r="J1799" s="2" t="s">
        <v>1891</v>
      </c>
    </row>
    <row r="1800" spans="1:10" x14ac:dyDescent="0.25">
      <c r="A1800" s="18" t="s">
        <v>2016</v>
      </c>
      <c r="B1800">
        <v>0.76942166311662719</v>
      </c>
      <c r="C1800" s="17">
        <f t="shared" si="28"/>
        <v>46464</v>
      </c>
      <c r="D1800" s="17"/>
      <c r="J1800" s="2" t="s">
        <v>115</v>
      </c>
    </row>
    <row r="1801" spans="1:10" x14ac:dyDescent="0.25">
      <c r="A1801" s="18" t="s">
        <v>1826</v>
      </c>
      <c r="B1801">
        <v>0.76991418405698286</v>
      </c>
      <c r="C1801" s="17">
        <f t="shared" si="28"/>
        <v>46465</v>
      </c>
      <c r="D1801" s="17"/>
      <c r="J1801" s="2" t="s">
        <v>1892</v>
      </c>
    </row>
    <row r="1802" spans="1:10" x14ac:dyDescent="0.25">
      <c r="A1802" s="18" t="s">
        <v>2169</v>
      </c>
      <c r="B1802">
        <v>0.7706353439605298</v>
      </c>
      <c r="C1802" s="17">
        <f t="shared" si="28"/>
        <v>46466</v>
      </c>
      <c r="D1802" s="17"/>
      <c r="J1802" s="2" t="s">
        <v>1893</v>
      </c>
    </row>
    <row r="1803" spans="1:10" x14ac:dyDescent="0.25">
      <c r="A1803" s="18" t="s">
        <v>773</v>
      </c>
      <c r="B1803">
        <v>0.77124188535410909</v>
      </c>
      <c r="C1803" s="17">
        <f t="shared" si="28"/>
        <v>46467</v>
      </c>
      <c r="D1803" s="17"/>
      <c r="J1803" s="2" t="s">
        <v>1894</v>
      </c>
    </row>
    <row r="1804" spans="1:10" x14ac:dyDescent="0.25">
      <c r="A1804" s="18" t="s">
        <v>240</v>
      </c>
      <c r="B1804">
        <v>0.77345608929676313</v>
      </c>
      <c r="C1804" s="17">
        <f t="shared" si="28"/>
        <v>46468</v>
      </c>
      <c r="D1804" s="17"/>
      <c r="J1804" s="2" t="s">
        <v>1895</v>
      </c>
    </row>
    <row r="1805" spans="1:10" x14ac:dyDescent="0.25">
      <c r="A1805" s="18" t="s">
        <v>1749</v>
      </c>
      <c r="B1805">
        <v>0.77353569851460791</v>
      </c>
      <c r="C1805" s="17">
        <f t="shared" si="28"/>
        <v>46469</v>
      </c>
      <c r="D1805" s="17"/>
      <c r="J1805" s="2" t="s">
        <v>149</v>
      </c>
    </row>
    <row r="1806" spans="1:10" x14ac:dyDescent="0.25">
      <c r="A1806" s="18" t="s">
        <v>299</v>
      </c>
      <c r="B1806">
        <v>0.77360150919670279</v>
      </c>
      <c r="C1806" s="17">
        <f t="shared" si="28"/>
        <v>46470</v>
      </c>
      <c r="D1806" s="17"/>
      <c r="J1806" s="2" t="s">
        <v>1896</v>
      </c>
    </row>
    <row r="1807" spans="1:10" x14ac:dyDescent="0.25">
      <c r="A1807" s="18" t="s">
        <v>1270</v>
      </c>
      <c r="B1807">
        <v>0.77443284331338269</v>
      </c>
      <c r="C1807" s="17">
        <f t="shared" si="28"/>
        <v>46471</v>
      </c>
      <c r="D1807" s="17"/>
      <c r="J1807" s="2" t="s">
        <v>1897</v>
      </c>
    </row>
    <row r="1808" spans="1:10" x14ac:dyDescent="0.25">
      <c r="A1808" s="18" t="s">
        <v>950</v>
      </c>
      <c r="B1808">
        <v>0.77462010218249211</v>
      </c>
      <c r="C1808" s="17">
        <f t="shared" si="28"/>
        <v>46472</v>
      </c>
      <c r="D1808" s="17"/>
      <c r="J1808" s="2" t="s">
        <v>343</v>
      </c>
    </row>
    <row r="1809" spans="1:10" x14ac:dyDescent="0.25">
      <c r="A1809" s="18" t="s">
        <v>1582</v>
      </c>
      <c r="B1809">
        <v>0.7749867381541975</v>
      </c>
      <c r="C1809" s="17">
        <f t="shared" si="28"/>
        <v>46473</v>
      </c>
      <c r="D1809" s="17"/>
      <c r="J1809" s="2" t="s">
        <v>1898</v>
      </c>
    </row>
    <row r="1810" spans="1:10" x14ac:dyDescent="0.25">
      <c r="A1810" s="18" t="s">
        <v>28</v>
      </c>
      <c r="B1810">
        <v>0.77543287976321684</v>
      </c>
      <c r="C1810" s="17">
        <f t="shared" si="28"/>
        <v>46474</v>
      </c>
      <c r="D1810" s="17"/>
      <c r="J1810" s="2" t="s">
        <v>1899</v>
      </c>
    </row>
    <row r="1811" spans="1:10" x14ac:dyDescent="0.25">
      <c r="A1811" s="18" t="s">
        <v>1151</v>
      </c>
      <c r="B1811">
        <v>0.77547538713859887</v>
      </c>
      <c r="C1811" s="17">
        <f t="shared" si="28"/>
        <v>46475</v>
      </c>
      <c r="D1811" s="17"/>
      <c r="J1811" s="2" t="s">
        <v>70</v>
      </c>
    </row>
    <row r="1812" spans="1:10" x14ac:dyDescent="0.25">
      <c r="A1812" s="18" t="s">
        <v>2064</v>
      </c>
      <c r="B1812">
        <v>0.7755418658619091</v>
      </c>
      <c r="C1812" s="17">
        <f t="shared" si="28"/>
        <v>46476</v>
      </c>
      <c r="D1812" s="17"/>
      <c r="J1812" s="2" t="s">
        <v>1900</v>
      </c>
    </row>
    <row r="1813" spans="1:10" x14ac:dyDescent="0.25">
      <c r="A1813" s="18" t="s">
        <v>987</v>
      </c>
      <c r="B1813">
        <v>0.77585075387670366</v>
      </c>
      <c r="C1813" s="17">
        <f t="shared" si="28"/>
        <v>46477</v>
      </c>
      <c r="D1813" s="17"/>
      <c r="J1813" s="2" t="s">
        <v>1901</v>
      </c>
    </row>
    <row r="1814" spans="1:10" x14ac:dyDescent="0.25">
      <c r="A1814" s="18" t="s">
        <v>415</v>
      </c>
      <c r="B1814">
        <v>0.77617903701570101</v>
      </c>
      <c r="C1814" s="17">
        <f t="shared" si="28"/>
        <v>46478</v>
      </c>
      <c r="D1814" s="17"/>
      <c r="J1814" s="2" t="s">
        <v>1902</v>
      </c>
    </row>
    <row r="1815" spans="1:10" x14ac:dyDescent="0.25">
      <c r="A1815" s="18" t="s">
        <v>1345</v>
      </c>
      <c r="B1815">
        <v>0.77659532965917977</v>
      </c>
      <c r="C1815" s="17">
        <f t="shared" si="28"/>
        <v>46479</v>
      </c>
      <c r="D1815" s="17"/>
      <c r="J1815" s="2" t="s">
        <v>1903</v>
      </c>
    </row>
    <row r="1816" spans="1:10" x14ac:dyDescent="0.25">
      <c r="A1816" s="18" t="s">
        <v>3</v>
      </c>
      <c r="B1816">
        <v>0.77689486906099037</v>
      </c>
      <c r="C1816" s="17">
        <f t="shared" si="28"/>
        <v>46480</v>
      </c>
      <c r="D1816" s="17"/>
      <c r="J1816" s="2" t="s">
        <v>1904</v>
      </c>
    </row>
    <row r="1817" spans="1:10" x14ac:dyDescent="0.25">
      <c r="A1817" s="18" t="s">
        <v>1308</v>
      </c>
      <c r="B1817">
        <v>0.77854449405758053</v>
      </c>
      <c r="C1817" s="17">
        <f t="shared" si="28"/>
        <v>46481</v>
      </c>
      <c r="D1817" s="17"/>
      <c r="J1817" s="2" t="s">
        <v>1905</v>
      </c>
    </row>
    <row r="1818" spans="1:10" x14ac:dyDescent="0.25">
      <c r="A1818" s="18" t="s">
        <v>645</v>
      </c>
      <c r="B1818">
        <v>0.77875531638079154</v>
      </c>
      <c r="C1818" s="17">
        <f t="shared" si="28"/>
        <v>46482</v>
      </c>
      <c r="D1818" s="17"/>
      <c r="J1818" s="2" t="s">
        <v>1906</v>
      </c>
    </row>
    <row r="1819" spans="1:10" x14ac:dyDescent="0.25">
      <c r="A1819" s="18" t="s">
        <v>1953</v>
      </c>
      <c r="B1819">
        <v>0.77928958619348709</v>
      </c>
      <c r="C1819" s="17">
        <f t="shared" si="28"/>
        <v>46483</v>
      </c>
      <c r="D1819" s="17"/>
      <c r="J1819" s="2" t="s">
        <v>1907</v>
      </c>
    </row>
    <row r="1820" spans="1:10" x14ac:dyDescent="0.25">
      <c r="A1820" s="18" t="s">
        <v>215</v>
      </c>
      <c r="B1820">
        <v>0.7797802728768416</v>
      </c>
      <c r="C1820" s="17">
        <f t="shared" si="28"/>
        <v>46484</v>
      </c>
      <c r="D1820" s="17"/>
      <c r="J1820" s="2" t="s">
        <v>1908</v>
      </c>
    </row>
    <row r="1821" spans="1:10" x14ac:dyDescent="0.25">
      <c r="A1821" s="18" t="s">
        <v>0</v>
      </c>
      <c r="B1821">
        <v>0.78056278086006725</v>
      </c>
      <c r="C1821" s="17">
        <f t="shared" si="28"/>
        <v>46485</v>
      </c>
      <c r="D1821" s="17"/>
      <c r="J1821" s="2" t="s">
        <v>1909</v>
      </c>
    </row>
    <row r="1822" spans="1:10" x14ac:dyDescent="0.25">
      <c r="A1822" s="18" t="s">
        <v>890</v>
      </c>
      <c r="B1822">
        <v>0.78085272574005493</v>
      </c>
      <c r="C1822" s="17">
        <f t="shared" si="28"/>
        <v>46486</v>
      </c>
      <c r="D1822" s="17"/>
      <c r="J1822" s="2" t="s">
        <v>1910</v>
      </c>
    </row>
    <row r="1823" spans="1:10" x14ac:dyDescent="0.25">
      <c r="A1823" s="18" t="s">
        <v>1388</v>
      </c>
      <c r="B1823">
        <v>0.78104215961922607</v>
      </c>
      <c r="C1823" s="17">
        <f t="shared" si="28"/>
        <v>46487</v>
      </c>
      <c r="D1823" s="17"/>
      <c r="J1823" s="2" t="s">
        <v>51</v>
      </c>
    </row>
    <row r="1824" spans="1:10" x14ac:dyDescent="0.25">
      <c r="A1824" s="18" t="s">
        <v>1994</v>
      </c>
      <c r="B1824">
        <v>0.78144460650580261</v>
      </c>
      <c r="C1824" s="17">
        <f t="shared" si="28"/>
        <v>46488</v>
      </c>
      <c r="D1824" s="17"/>
      <c r="J1824" s="2" t="s">
        <v>1911</v>
      </c>
    </row>
    <row r="1825" spans="1:10" x14ac:dyDescent="0.25">
      <c r="A1825" s="18" t="s">
        <v>733</v>
      </c>
      <c r="B1825">
        <v>0.78171950842292193</v>
      </c>
      <c r="C1825" s="17">
        <f t="shared" si="28"/>
        <v>46489</v>
      </c>
      <c r="D1825" s="17"/>
      <c r="J1825" s="2" t="s">
        <v>1912</v>
      </c>
    </row>
    <row r="1826" spans="1:10" x14ac:dyDescent="0.25">
      <c r="A1826" s="18" t="s">
        <v>397</v>
      </c>
      <c r="B1826">
        <v>0.7822053059814249</v>
      </c>
      <c r="C1826" s="17">
        <f t="shared" si="28"/>
        <v>46490</v>
      </c>
      <c r="D1826" s="17"/>
      <c r="J1826" s="2" t="s">
        <v>1913</v>
      </c>
    </row>
    <row r="1827" spans="1:10" x14ac:dyDescent="0.25">
      <c r="A1827" s="18" t="s">
        <v>1744</v>
      </c>
      <c r="B1827">
        <v>0.78303937403516044</v>
      </c>
      <c r="C1827" s="17">
        <f t="shared" si="28"/>
        <v>46491</v>
      </c>
      <c r="D1827" s="17"/>
      <c r="J1827" s="2" t="s">
        <v>1914</v>
      </c>
    </row>
    <row r="1828" spans="1:10" x14ac:dyDescent="0.25">
      <c r="A1828" s="18" t="s">
        <v>627</v>
      </c>
      <c r="B1828">
        <v>0.78306323155834878</v>
      </c>
      <c r="C1828" s="17">
        <f t="shared" si="28"/>
        <v>46492</v>
      </c>
      <c r="D1828" s="17"/>
      <c r="J1828" s="2" t="s">
        <v>1915</v>
      </c>
    </row>
    <row r="1829" spans="1:10" x14ac:dyDescent="0.25">
      <c r="A1829" s="18" t="s">
        <v>1993</v>
      </c>
      <c r="B1829">
        <v>0.78473366287028778</v>
      </c>
      <c r="C1829" s="17">
        <f t="shared" si="28"/>
        <v>46493</v>
      </c>
      <c r="D1829" s="17"/>
      <c r="J1829" s="2" t="s">
        <v>1916</v>
      </c>
    </row>
    <row r="1830" spans="1:10" x14ac:dyDescent="0.25">
      <c r="A1830" s="18" t="s">
        <v>32</v>
      </c>
      <c r="B1830">
        <v>0.78473850947976675</v>
      </c>
      <c r="C1830" s="17">
        <f t="shared" si="28"/>
        <v>46494</v>
      </c>
      <c r="D1830" s="17"/>
      <c r="J1830" s="2" t="s">
        <v>1917</v>
      </c>
    </row>
    <row r="1831" spans="1:10" x14ac:dyDescent="0.25">
      <c r="A1831" s="18" t="s">
        <v>1572</v>
      </c>
      <c r="B1831">
        <v>0.7857633580705099</v>
      </c>
      <c r="C1831" s="17">
        <f t="shared" si="28"/>
        <v>46495</v>
      </c>
      <c r="D1831" s="17"/>
      <c r="J1831" s="2" t="s">
        <v>1918</v>
      </c>
    </row>
    <row r="1832" spans="1:10" x14ac:dyDescent="0.25">
      <c r="A1832" s="18" t="s">
        <v>454</v>
      </c>
      <c r="B1832">
        <v>0.78598161187823246</v>
      </c>
      <c r="C1832" s="17">
        <f t="shared" si="28"/>
        <v>46496</v>
      </c>
      <c r="D1832" s="17"/>
      <c r="J1832" s="2" t="s">
        <v>1919</v>
      </c>
    </row>
    <row r="1833" spans="1:10" x14ac:dyDescent="0.25">
      <c r="A1833" s="18" t="s">
        <v>994</v>
      </c>
      <c r="B1833">
        <v>0.78649450886315186</v>
      </c>
      <c r="C1833" s="17">
        <f t="shared" si="28"/>
        <v>46497</v>
      </c>
      <c r="D1833" s="17"/>
      <c r="J1833" s="2" t="s">
        <v>113</v>
      </c>
    </row>
    <row r="1834" spans="1:10" x14ac:dyDescent="0.25">
      <c r="A1834" s="18" t="s">
        <v>2132</v>
      </c>
      <c r="B1834">
        <v>0.78661039482306594</v>
      </c>
      <c r="C1834" s="17">
        <f t="shared" si="28"/>
        <v>46498</v>
      </c>
      <c r="D1834" s="17"/>
      <c r="J1834" s="2" t="s">
        <v>1920</v>
      </c>
    </row>
    <row r="1835" spans="1:10" x14ac:dyDescent="0.25">
      <c r="A1835" s="18" t="s">
        <v>1176</v>
      </c>
      <c r="B1835">
        <v>0.787189391729472</v>
      </c>
      <c r="C1835" s="17">
        <f t="shared" si="28"/>
        <v>46499</v>
      </c>
      <c r="D1835" s="17"/>
      <c r="J1835" s="2" t="s">
        <v>404</v>
      </c>
    </row>
    <row r="1836" spans="1:10" x14ac:dyDescent="0.25">
      <c r="A1836" s="18" t="s">
        <v>680</v>
      </c>
      <c r="B1836">
        <v>0.78747702671907616</v>
      </c>
      <c r="C1836" s="17">
        <f t="shared" si="28"/>
        <v>46500</v>
      </c>
      <c r="D1836" s="17"/>
      <c r="J1836" s="2" t="s">
        <v>301</v>
      </c>
    </row>
    <row r="1837" spans="1:10" x14ac:dyDescent="0.25">
      <c r="A1837" s="18" t="s">
        <v>1972</v>
      </c>
      <c r="B1837">
        <v>0.78769466283575273</v>
      </c>
      <c r="C1837" s="17">
        <f t="shared" si="28"/>
        <v>46501</v>
      </c>
      <c r="D1837" s="17"/>
      <c r="J1837" s="2" t="s">
        <v>1921</v>
      </c>
    </row>
    <row r="1838" spans="1:10" x14ac:dyDescent="0.25">
      <c r="A1838" s="18" t="s">
        <v>920</v>
      </c>
      <c r="B1838">
        <v>0.78828840967837743</v>
      </c>
      <c r="C1838" s="17">
        <f t="shared" si="28"/>
        <v>46502</v>
      </c>
      <c r="D1838" s="17"/>
      <c r="J1838" s="2" t="s">
        <v>1922</v>
      </c>
    </row>
    <row r="1839" spans="1:10" x14ac:dyDescent="0.25">
      <c r="A1839" s="18" t="s">
        <v>156</v>
      </c>
      <c r="B1839">
        <v>0.78842855656732924</v>
      </c>
      <c r="C1839" s="17">
        <f t="shared" si="28"/>
        <v>46503</v>
      </c>
      <c r="D1839" s="17"/>
      <c r="J1839" s="2" t="s">
        <v>1923</v>
      </c>
    </row>
    <row r="1840" spans="1:10" x14ac:dyDescent="0.25">
      <c r="A1840" s="18" t="s">
        <v>722</v>
      </c>
      <c r="B1840">
        <v>0.78921062254311969</v>
      </c>
      <c r="C1840" s="17">
        <f t="shared" si="28"/>
        <v>46504</v>
      </c>
      <c r="D1840" s="17"/>
      <c r="J1840" s="2" t="s">
        <v>1924</v>
      </c>
    </row>
    <row r="1841" spans="1:10" x14ac:dyDescent="0.25">
      <c r="A1841" s="18" t="s">
        <v>1992</v>
      </c>
      <c r="B1841">
        <v>0.7894182577397949</v>
      </c>
      <c r="C1841" s="17">
        <f t="shared" si="28"/>
        <v>46505</v>
      </c>
      <c r="D1841" s="17"/>
      <c r="J1841" s="2" t="s">
        <v>270</v>
      </c>
    </row>
    <row r="1842" spans="1:10" x14ac:dyDescent="0.25">
      <c r="A1842" s="18" t="s">
        <v>596</v>
      </c>
      <c r="B1842">
        <v>0.78946175577600708</v>
      </c>
      <c r="C1842" s="17">
        <f t="shared" si="28"/>
        <v>46506</v>
      </c>
      <c r="D1842" s="17"/>
      <c r="J1842" s="2" t="s">
        <v>93</v>
      </c>
    </row>
    <row r="1843" spans="1:10" x14ac:dyDescent="0.25">
      <c r="A1843" s="18" t="s">
        <v>2049</v>
      </c>
      <c r="B1843">
        <v>0.78993406359523954</v>
      </c>
      <c r="C1843" s="17">
        <f t="shared" si="28"/>
        <v>46507</v>
      </c>
      <c r="D1843" s="17"/>
      <c r="J1843" s="2" t="s">
        <v>1925</v>
      </c>
    </row>
    <row r="1844" spans="1:10" x14ac:dyDescent="0.25">
      <c r="A1844" s="18" t="s">
        <v>1873</v>
      </c>
      <c r="B1844">
        <v>0.78993947528230013</v>
      </c>
      <c r="C1844" s="17">
        <f t="shared" si="28"/>
        <v>46508</v>
      </c>
      <c r="D1844" s="17"/>
      <c r="J1844" s="2" t="s">
        <v>290</v>
      </c>
    </row>
    <row r="1845" spans="1:10" x14ac:dyDescent="0.25">
      <c r="A1845" s="18" t="s">
        <v>2082</v>
      </c>
      <c r="B1845">
        <v>0.79027390886641313</v>
      </c>
      <c r="C1845" s="17">
        <f t="shared" si="28"/>
        <v>46509</v>
      </c>
      <c r="D1845" s="17"/>
      <c r="J1845" s="2" t="s">
        <v>1926</v>
      </c>
    </row>
    <row r="1846" spans="1:10" x14ac:dyDescent="0.25">
      <c r="A1846" s="18" t="s">
        <v>1814</v>
      </c>
      <c r="B1846">
        <v>0.79114064197381495</v>
      </c>
      <c r="C1846" s="17">
        <f t="shared" si="28"/>
        <v>46510</v>
      </c>
      <c r="D1846" s="17"/>
      <c r="J1846" s="2" t="s">
        <v>1927</v>
      </c>
    </row>
    <row r="1847" spans="1:10" x14ac:dyDescent="0.25">
      <c r="A1847" s="18" t="s">
        <v>1122</v>
      </c>
      <c r="B1847">
        <v>0.79125912317871794</v>
      </c>
      <c r="C1847" s="17">
        <f t="shared" si="28"/>
        <v>46511</v>
      </c>
      <c r="D1847" s="17"/>
      <c r="J1847" s="2" t="s">
        <v>1928</v>
      </c>
    </row>
    <row r="1848" spans="1:10" x14ac:dyDescent="0.25">
      <c r="A1848" s="18" t="s">
        <v>1099</v>
      </c>
      <c r="B1848">
        <v>0.7920056169508003</v>
      </c>
      <c r="C1848" s="17">
        <f t="shared" si="28"/>
        <v>46512</v>
      </c>
      <c r="D1848" s="17"/>
      <c r="J1848" s="2" t="s">
        <v>1929</v>
      </c>
    </row>
    <row r="1849" spans="1:10" x14ac:dyDescent="0.25">
      <c r="A1849" s="18" t="s">
        <v>1553</v>
      </c>
      <c r="B1849">
        <v>0.79391272630566689</v>
      </c>
      <c r="C1849" s="17">
        <f t="shared" si="28"/>
        <v>46513</v>
      </c>
      <c r="D1849" s="17"/>
      <c r="J1849" s="2" t="s">
        <v>1930</v>
      </c>
    </row>
    <row r="1850" spans="1:10" x14ac:dyDescent="0.25">
      <c r="A1850" s="18" t="s">
        <v>985</v>
      </c>
      <c r="B1850">
        <v>0.79407413498979318</v>
      </c>
      <c r="C1850" s="17">
        <f t="shared" si="28"/>
        <v>46514</v>
      </c>
      <c r="D1850" s="17"/>
      <c r="J1850" s="2" t="s">
        <v>228</v>
      </c>
    </row>
    <row r="1851" spans="1:10" x14ac:dyDescent="0.25">
      <c r="A1851" s="18" t="s">
        <v>1033</v>
      </c>
      <c r="B1851">
        <v>0.79432885578586421</v>
      </c>
      <c r="C1851" s="17">
        <f t="shared" si="28"/>
        <v>46515</v>
      </c>
      <c r="D1851" s="17"/>
      <c r="J1851" s="2" t="s">
        <v>1931</v>
      </c>
    </row>
    <row r="1852" spans="1:10" x14ac:dyDescent="0.25">
      <c r="A1852" s="18" t="s">
        <v>1194</v>
      </c>
      <c r="B1852">
        <v>0.79537647156415436</v>
      </c>
      <c r="C1852" s="17">
        <f t="shared" si="28"/>
        <v>46516</v>
      </c>
      <c r="D1852" s="17"/>
      <c r="J1852" s="2" t="s">
        <v>1932</v>
      </c>
    </row>
    <row r="1853" spans="1:10" x14ac:dyDescent="0.25">
      <c r="A1853" s="18" t="s">
        <v>282</v>
      </c>
      <c r="B1853">
        <v>0.79578250948794715</v>
      </c>
      <c r="C1853" s="17">
        <f t="shared" si="28"/>
        <v>46517</v>
      </c>
      <c r="D1853" s="17"/>
      <c r="J1853" s="2" t="s">
        <v>1933</v>
      </c>
    </row>
    <row r="1854" spans="1:10" x14ac:dyDescent="0.25">
      <c r="A1854" s="18" t="s">
        <v>1497</v>
      </c>
      <c r="B1854">
        <v>0.79588112450113591</v>
      </c>
      <c r="C1854" s="17">
        <f t="shared" si="28"/>
        <v>46518</v>
      </c>
      <c r="D1854" s="17"/>
      <c r="J1854" s="2" t="s">
        <v>341</v>
      </c>
    </row>
    <row r="1855" spans="1:10" x14ac:dyDescent="0.25">
      <c r="A1855" s="18" t="s">
        <v>2131</v>
      </c>
      <c r="B1855">
        <v>0.79657210456077043</v>
      </c>
      <c r="C1855" s="17">
        <f t="shared" si="28"/>
        <v>46519</v>
      </c>
      <c r="D1855" s="17"/>
      <c r="J1855" s="2" t="s">
        <v>1934</v>
      </c>
    </row>
    <row r="1856" spans="1:10" x14ac:dyDescent="0.25">
      <c r="A1856" s="18" t="s">
        <v>2171</v>
      </c>
      <c r="B1856">
        <v>0.79661241154519957</v>
      </c>
      <c r="C1856" s="17">
        <f t="shared" si="28"/>
        <v>46520</v>
      </c>
      <c r="D1856" s="17"/>
      <c r="J1856" s="2" t="s">
        <v>1935</v>
      </c>
    </row>
    <row r="1857" spans="1:10" x14ac:dyDescent="0.25">
      <c r="A1857" s="18" t="s">
        <v>141</v>
      </c>
      <c r="B1857">
        <v>0.79722530114269108</v>
      </c>
      <c r="C1857" s="17">
        <f t="shared" si="28"/>
        <v>46521</v>
      </c>
      <c r="D1857" s="17"/>
      <c r="J1857" s="2" t="s">
        <v>1936</v>
      </c>
    </row>
    <row r="1858" spans="1:10" x14ac:dyDescent="0.25">
      <c r="A1858" s="18" t="s">
        <v>2151</v>
      </c>
      <c r="B1858">
        <v>0.79766445654087215</v>
      </c>
      <c r="C1858" s="17">
        <f t="shared" si="28"/>
        <v>46522</v>
      </c>
      <c r="D1858" s="17"/>
      <c r="J1858" s="2" t="s">
        <v>1937</v>
      </c>
    </row>
    <row r="1859" spans="1:10" x14ac:dyDescent="0.25">
      <c r="A1859" s="18" t="s">
        <v>2300</v>
      </c>
      <c r="B1859">
        <v>0.79780058009618848</v>
      </c>
      <c r="C1859" s="17">
        <f t="shared" si="28"/>
        <v>46523</v>
      </c>
      <c r="D1859" s="17"/>
      <c r="J1859" s="2" t="s">
        <v>1938</v>
      </c>
    </row>
    <row r="1860" spans="1:10" x14ac:dyDescent="0.25">
      <c r="A1860" s="18" t="s">
        <v>685</v>
      </c>
      <c r="B1860">
        <v>0.79817081229197873</v>
      </c>
      <c r="C1860" s="17">
        <f t="shared" ref="C1860:C1923" si="29">C1859+1</f>
        <v>46524</v>
      </c>
      <c r="D1860" s="17"/>
      <c r="J1860" s="2" t="s">
        <v>1939</v>
      </c>
    </row>
    <row r="1861" spans="1:10" x14ac:dyDescent="0.25">
      <c r="A1861" s="18" t="s">
        <v>1726</v>
      </c>
      <c r="B1861">
        <v>0.79820297303188159</v>
      </c>
      <c r="C1861" s="17">
        <f t="shared" si="29"/>
        <v>46525</v>
      </c>
      <c r="D1861" s="17"/>
      <c r="J1861" s="2" t="s">
        <v>424</v>
      </c>
    </row>
    <row r="1862" spans="1:10" x14ac:dyDescent="0.25">
      <c r="A1862" s="18" t="s">
        <v>1003</v>
      </c>
      <c r="B1862">
        <v>0.7986931537332963</v>
      </c>
      <c r="C1862" s="17">
        <f t="shared" si="29"/>
        <v>46526</v>
      </c>
      <c r="D1862" s="17"/>
      <c r="J1862" s="2" t="s">
        <v>1940</v>
      </c>
    </row>
    <row r="1863" spans="1:10" x14ac:dyDescent="0.25">
      <c r="A1863" s="18" t="s">
        <v>2202</v>
      </c>
      <c r="B1863">
        <v>0.79946912933694469</v>
      </c>
      <c r="C1863" s="17">
        <f t="shared" si="29"/>
        <v>46527</v>
      </c>
      <c r="D1863" s="17"/>
      <c r="J1863" s="2" t="s">
        <v>1941</v>
      </c>
    </row>
    <row r="1864" spans="1:10" x14ac:dyDescent="0.25">
      <c r="A1864" s="18" t="s">
        <v>1564</v>
      </c>
      <c r="B1864">
        <v>0.79949165517818743</v>
      </c>
      <c r="C1864" s="17">
        <f t="shared" si="29"/>
        <v>46528</v>
      </c>
      <c r="D1864" s="17"/>
      <c r="J1864" s="2" t="s">
        <v>1942</v>
      </c>
    </row>
    <row r="1865" spans="1:10" x14ac:dyDescent="0.25">
      <c r="A1865" s="18" t="s">
        <v>1389</v>
      </c>
      <c r="B1865">
        <v>0.79953582185734484</v>
      </c>
      <c r="C1865" s="17">
        <f t="shared" si="29"/>
        <v>46529</v>
      </c>
      <c r="D1865" s="17"/>
      <c r="J1865" s="2" t="s">
        <v>365</v>
      </c>
    </row>
    <row r="1866" spans="1:10" x14ac:dyDescent="0.25">
      <c r="A1866" s="18" t="s">
        <v>176</v>
      </c>
      <c r="B1866">
        <v>0.79987781668278768</v>
      </c>
      <c r="C1866" s="17">
        <f t="shared" si="29"/>
        <v>46530</v>
      </c>
      <c r="D1866" s="17"/>
      <c r="J1866" s="2" t="s">
        <v>1943</v>
      </c>
    </row>
    <row r="1867" spans="1:10" x14ac:dyDescent="0.25">
      <c r="A1867" s="18" t="s">
        <v>262</v>
      </c>
      <c r="B1867">
        <v>0.8002167127120936</v>
      </c>
      <c r="C1867" s="17">
        <f t="shared" si="29"/>
        <v>46531</v>
      </c>
      <c r="D1867" s="17"/>
      <c r="J1867" s="2" t="s">
        <v>1944</v>
      </c>
    </row>
    <row r="1868" spans="1:10" x14ac:dyDescent="0.25">
      <c r="A1868" s="18" t="s">
        <v>1000</v>
      </c>
      <c r="B1868">
        <v>0.8006391089588849</v>
      </c>
      <c r="C1868" s="17">
        <f t="shared" si="29"/>
        <v>46532</v>
      </c>
      <c r="D1868" s="17"/>
      <c r="J1868" s="2" t="s">
        <v>1945</v>
      </c>
    </row>
    <row r="1869" spans="1:10" x14ac:dyDescent="0.25">
      <c r="A1869" s="18" t="s">
        <v>1123</v>
      </c>
      <c r="B1869">
        <v>0.8006505367918858</v>
      </c>
      <c r="C1869" s="17">
        <f t="shared" si="29"/>
        <v>46533</v>
      </c>
      <c r="D1869" s="17"/>
      <c r="J1869" s="2" t="s">
        <v>417</v>
      </c>
    </row>
    <row r="1870" spans="1:10" x14ac:dyDescent="0.25">
      <c r="A1870" s="18" t="s">
        <v>39</v>
      </c>
      <c r="B1870">
        <v>0.80075733912804248</v>
      </c>
      <c r="C1870" s="17">
        <f t="shared" si="29"/>
        <v>46534</v>
      </c>
      <c r="D1870" s="17"/>
      <c r="J1870" s="2" t="s">
        <v>1946</v>
      </c>
    </row>
    <row r="1871" spans="1:10" x14ac:dyDescent="0.25">
      <c r="A1871" s="18" t="s">
        <v>348</v>
      </c>
      <c r="B1871">
        <v>0.801081936556156</v>
      </c>
      <c r="C1871" s="17">
        <f t="shared" si="29"/>
        <v>46535</v>
      </c>
      <c r="D1871" s="17"/>
      <c r="J1871" s="2" t="s">
        <v>1947</v>
      </c>
    </row>
    <row r="1872" spans="1:10" x14ac:dyDescent="0.25">
      <c r="A1872" s="18" t="s">
        <v>1871</v>
      </c>
      <c r="B1872">
        <v>0.80172428544375063</v>
      </c>
      <c r="C1872" s="17">
        <f t="shared" si="29"/>
        <v>46536</v>
      </c>
      <c r="D1872" s="17"/>
      <c r="J1872" s="2" t="s">
        <v>1948</v>
      </c>
    </row>
    <row r="1873" spans="1:10" x14ac:dyDescent="0.25">
      <c r="A1873" s="18" t="s">
        <v>1989</v>
      </c>
      <c r="B1873">
        <v>0.80218146676569702</v>
      </c>
      <c r="C1873" s="17">
        <f t="shared" si="29"/>
        <v>46537</v>
      </c>
      <c r="D1873" s="17"/>
      <c r="J1873" s="2" t="s">
        <v>1949</v>
      </c>
    </row>
    <row r="1874" spans="1:10" x14ac:dyDescent="0.25">
      <c r="A1874" s="18" t="s">
        <v>153</v>
      </c>
      <c r="B1874">
        <v>0.80231109280033219</v>
      </c>
      <c r="C1874" s="17">
        <f t="shared" si="29"/>
        <v>46538</v>
      </c>
      <c r="D1874" s="17"/>
      <c r="J1874" s="2" t="s">
        <v>1950</v>
      </c>
    </row>
    <row r="1875" spans="1:10" x14ac:dyDescent="0.25">
      <c r="A1875" s="18" t="s">
        <v>612</v>
      </c>
      <c r="B1875">
        <v>0.80272634864977244</v>
      </c>
      <c r="C1875" s="17">
        <f t="shared" si="29"/>
        <v>46539</v>
      </c>
      <c r="D1875" s="17"/>
      <c r="J1875" s="2" t="s">
        <v>1951</v>
      </c>
    </row>
    <row r="1876" spans="1:10" x14ac:dyDescent="0.25">
      <c r="A1876" s="18" t="s">
        <v>977</v>
      </c>
      <c r="B1876">
        <v>0.80272842206464101</v>
      </c>
      <c r="C1876" s="17">
        <f t="shared" si="29"/>
        <v>46540</v>
      </c>
      <c r="D1876" s="17"/>
      <c r="J1876" s="2" t="s">
        <v>1952</v>
      </c>
    </row>
    <row r="1877" spans="1:10" x14ac:dyDescent="0.25">
      <c r="A1877" s="18" t="s">
        <v>2284</v>
      </c>
      <c r="B1877">
        <v>0.80282147849609242</v>
      </c>
      <c r="C1877" s="17">
        <f t="shared" si="29"/>
        <v>46541</v>
      </c>
      <c r="D1877" s="17"/>
      <c r="J1877" s="2" t="s">
        <v>1953</v>
      </c>
    </row>
    <row r="1878" spans="1:10" x14ac:dyDescent="0.25">
      <c r="A1878" s="18" t="s">
        <v>2088</v>
      </c>
      <c r="B1878">
        <v>0.8039018943434475</v>
      </c>
      <c r="C1878" s="17">
        <f t="shared" si="29"/>
        <v>46542</v>
      </c>
      <c r="D1878" s="17"/>
      <c r="J1878" s="2" t="s">
        <v>1954</v>
      </c>
    </row>
    <row r="1879" spans="1:10" x14ac:dyDescent="0.25">
      <c r="A1879" s="18" t="s">
        <v>981</v>
      </c>
      <c r="B1879">
        <v>0.80477323614505292</v>
      </c>
      <c r="C1879" s="17">
        <f t="shared" si="29"/>
        <v>46543</v>
      </c>
      <c r="D1879" s="17"/>
      <c r="J1879" s="2" t="s">
        <v>1</v>
      </c>
    </row>
    <row r="1880" spans="1:10" x14ac:dyDescent="0.25">
      <c r="A1880" s="18" t="s">
        <v>717</v>
      </c>
      <c r="B1880">
        <v>0.80493760394576219</v>
      </c>
      <c r="C1880" s="17">
        <f t="shared" si="29"/>
        <v>46544</v>
      </c>
      <c r="D1880" s="17"/>
      <c r="J1880" s="2" t="s">
        <v>250</v>
      </c>
    </row>
    <row r="1881" spans="1:10" x14ac:dyDescent="0.25">
      <c r="A1881" s="18" t="s">
        <v>618</v>
      </c>
      <c r="B1881">
        <v>0.80621953710730565</v>
      </c>
      <c r="C1881" s="17">
        <f t="shared" si="29"/>
        <v>46545</v>
      </c>
      <c r="D1881" s="17"/>
      <c r="J1881" s="2" t="s">
        <v>1955</v>
      </c>
    </row>
    <row r="1882" spans="1:10" x14ac:dyDescent="0.25">
      <c r="A1882" s="18" t="s">
        <v>941</v>
      </c>
      <c r="B1882">
        <v>0.80634023477926942</v>
      </c>
      <c r="C1882" s="17">
        <f t="shared" si="29"/>
        <v>46546</v>
      </c>
      <c r="D1882" s="17"/>
      <c r="J1882" s="2" t="s">
        <v>1956</v>
      </c>
    </row>
    <row r="1883" spans="1:10" x14ac:dyDescent="0.25">
      <c r="A1883" s="18" t="s">
        <v>2078</v>
      </c>
      <c r="B1883">
        <v>0.80696808883696025</v>
      </c>
      <c r="C1883" s="17">
        <f t="shared" si="29"/>
        <v>46547</v>
      </c>
      <c r="D1883" s="17"/>
      <c r="J1883" s="2" t="s">
        <v>1957</v>
      </c>
    </row>
    <row r="1884" spans="1:10" x14ac:dyDescent="0.25">
      <c r="A1884" s="18" t="s">
        <v>972</v>
      </c>
      <c r="B1884">
        <v>0.80737881085845209</v>
      </c>
      <c r="C1884" s="17">
        <f t="shared" si="29"/>
        <v>46548</v>
      </c>
      <c r="D1884" s="17"/>
      <c r="J1884" s="2" t="s">
        <v>1958</v>
      </c>
    </row>
    <row r="1885" spans="1:10" x14ac:dyDescent="0.25">
      <c r="A1885" s="18" t="s">
        <v>1759</v>
      </c>
      <c r="B1885">
        <v>0.80787983343638647</v>
      </c>
      <c r="C1885" s="17">
        <f t="shared" si="29"/>
        <v>46549</v>
      </c>
      <c r="D1885" s="17"/>
      <c r="J1885" s="2" t="s">
        <v>1959</v>
      </c>
    </row>
    <row r="1886" spans="1:10" x14ac:dyDescent="0.25">
      <c r="A1886" s="18" t="s">
        <v>1813</v>
      </c>
      <c r="B1886">
        <v>0.80788852313773374</v>
      </c>
      <c r="C1886" s="17">
        <f t="shared" si="29"/>
        <v>46550</v>
      </c>
      <c r="D1886" s="17"/>
      <c r="J1886" s="2" t="s">
        <v>1960</v>
      </c>
    </row>
    <row r="1887" spans="1:10" x14ac:dyDescent="0.25">
      <c r="A1887" s="18" t="s">
        <v>1026</v>
      </c>
      <c r="B1887">
        <v>0.80813244912762172</v>
      </c>
      <c r="C1887" s="17">
        <f t="shared" si="29"/>
        <v>46551</v>
      </c>
      <c r="D1887" s="17"/>
      <c r="J1887" s="2" t="s">
        <v>1961</v>
      </c>
    </row>
    <row r="1888" spans="1:10" x14ac:dyDescent="0.25">
      <c r="A1888" s="18" t="s">
        <v>22</v>
      </c>
      <c r="B1888">
        <v>0.80839052581417692</v>
      </c>
      <c r="C1888" s="17">
        <f t="shared" si="29"/>
        <v>46552</v>
      </c>
      <c r="D1888" s="17"/>
      <c r="J1888" s="2" t="s">
        <v>1962</v>
      </c>
    </row>
    <row r="1889" spans="1:10" x14ac:dyDescent="0.25">
      <c r="A1889" s="18" t="s">
        <v>1196</v>
      </c>
      <c r="B1889">
        <v>0.80881832696993672</v>
      </c>
      <c r="C1889" s="17">
        <f t="shared" si="29"/>
        <v>46553</v>
      </c>
      <c r="D1889" s="17"/>
      <c r="J1889" s="2" t="s">
        <v>1963</v>
      </c>
    </row>
    <row r="1890" spans="1:10" x14ac:dyDescent="0.25">
      <c r="A1890" s="18" t="s">
        <v>1665</v>
      </c>
      <c r="B1890">
        <v>0.80909985010151153</v>
      </c>
      <c r="C1890" s="17">
        <f t="shared" si="29"/>
        <v>46554</v>
      </c>
      <c r="D1890" s="17"/>
      <c r="J1890" s="2" t="s">
        <v>140</v>
      </c>
    </row>
    <row r="1891" spans="1:10" x14ac:dyDescent="0.25">
      <c r="A1891" s="18" t="s">
        <v>1978</v>
      </c>
      <c r="B1891">
        <v>0.80933087222357425</v>
      </c>
      <c r="C1891" s="17">
        <f t="shared" si="29"/>
        <v>46555</v>
      </c>
      <c r="D1891" s="17"/>
      <c r="J1891" s="2" t="s">
        <v>1964</v>
      </c>
    </row>
    <row r="1892" spans="1:10" x14ac:dyDescent="0.25">
      <c r="A1892" s="18" t="s">
        <v>604</v>
      </c>
      <c r="B1892">
        <v>0.80938284948407258</v>
      </c>
      <c r="C1892" s="17">
        <f t="shared" si="29"/>
        <v>46556</v>
      </c>
      <c r="D1892" s="17"/>
      <c r="J1892" s="2" t="s">
        <v>1965</v>
      </c>
    </row>
    <row r="1893" spans="1:10" x14ac:dyDescent="0.25">
      <c r="A1893" s="18" t="s">
        <v>2000</v>
      </c>
      <c r="B1893">
        <v>0.80993318379441226</v>
      </c>
      <c r="C1893" s="17">
        <f t="shared" si="29"/>
        <v>46557</v>
      </c>
      <c r="D1893" s="17"/>
      <c r="J1893" s="2" t="s">
        <v>1966</v>
      </c>
    </row>
    <row r="1894" spans="1:10" x14ac:dyDescent="0.25">
      <c r="A1894" s="18" t="s">
        <v>753</v>
      </c>
      <c r="B1894">
        <v>0.81053429546033906</v>
      </c>
      <c r="C1894" s="17">
        <f t="shared" si="29"/>
        <v>46558</v>
      </c>
      <c r="D1894" s="17"/>
      <c r="J1894" s="2" t="s">
        <v>1967</v>
      </c>
    </row>
    <row r="1895" spans="1:10" x14ac:dyDescent="0.25">
      <c r="A1895" s="18" t="s">
        <v>273</v>
      </c>
      <c r="B1895">
        <v>0.81133339275048177</v>
      </c>
      <c r="C1895" s="17">
        <f t="shared" si="29"/>
        <v>46559</v>
      </c>
      <c r="D1895" s="17"/>
      <c r="J1895" s="2" t="s">
        <v>1968</v>
      </c>
    </row>
    <row r="1896" spans="1:10" x14ac:dyDescent="0.25">
      <c r="A1896" s="18" t="s">
        <v>100</v>
      </c>
      <c r="B1896">
        <v>0.8114994546129628</v>
      </c>
      <c r="C1896" s="17">
        <f t="shared" si="29"/>
        <v>46560</v>
      </c>
      <c r="D1896" s="17"/>
      <c r="J1896" s="2" t="s">
        <v>289</v>
      </c>
    </row>
    <row r="1897" spans="1:10" x14ac:dyDescent="0.25">
      <c r="A1897" s="18" t="s">
        <v>1546</v>
      </c>
      <c r="B1897">
        <v>0.81195475032579378</v>
      </c>
      <c r="C1897" s="17">
        <f t="shared" si="29"/>
        <v>46561</v>
      </c>
      <c r="D1897" s="17"/>
      <c r="J1897" s="2" t="s">
        <v>1969</v>
      </c>
    </row>
    <row r="1898" spans="1:10" x14ac:dyDescent="0.25">
      <c r="A1898" s="18" t="s">
        <v>892</v>
      </c>
      <c r="B1898">
        <v>0.81236597815887901</v>
      </c>
      <c r="C1898" s="17">
        <f t="shared" si="29"/>
        <v>46562</v>
      </c>
      <c r="D1898" s="17"/>
      <c r="J1898" s="2" t="s">
        <v>1970</v>
      </c>
    </row>
    <row r="1899" spans="1:10" x14ac:dyDescent="0.25">
      <c r="A1899" s="18" t="s">
        <v>1503</v>
      </c>
      <c r="B1899">
        <v>0.81248907980968466</v>
      </c>
      <c r="C1899" s="17">
        <f t="shared" si="29"/>
        <v>46563</v>
      </c>
      <c r="D1899" s="17"/>
      <c r="J1899" s="2" t="s">
        <v>1971</v>
      </c>
    </row>
    <row r="1900" spans="1:10" x14ac:dyDescent="0.25">
      <c r="A1900" s="18" t="s">
        <v>467</v>
      </c>
      <c r="B1900">
        <v>0.81266602587338876</v>
      </c>
      <c r="C1900" s="17">
        <f t="shared" si="29"/>
        <v>46564</v>
      </c>
      <c r="D1900" s="17"/>
      <c r="J1900" s="2" t="s">
        <v>1972</v>
      </c>
    </row>
    <row r="1901" spans="1:10" x14ac:dyDescent="0.25">
      <c r="A1901" s="18" t="s">
        <v>814</v>
      </c>
      <c r="B1901">
        <v>0.81292343629821906</v>
      </c>
      <c r="C1901" s="17">
        <f t="shared" si="29"/>
        <v>46565</v>
      </c>
      <c r="D1901" s="17"/>
      <c r="J1901" s="2" t="s">
        <v>1973</v>
      </c>
    </row>
    <row r="1902" spans="1:10" x14ac:dyDescent="0.25">
      <c r="A1902" s="18" t="s">
        <v>396</v>
      </c>
      <c r="B1902">
        <v>0.81366037327017338</v>
      </c>
      <c r="C1902" s="17">
        <f t="shared" si="29"/>
        <v>46566</v>
      </c>
      <c r="D1902" s="17"/>
      <c r="J1902" s="2" t="s">
        <v>100</v>
      </c>
    </row>
    <row r="1903" spans="1:10" x14ac:dyDescent="0.25">
      <c r="A1903" s="18" t="s">
        <v>121</v>
      </c>
      <c r="B1903">
        <v>0.81453166340175365</v>
      </c>
      <c r="C1903" s="17">
        <f t="shared" si="29"/>
        <v>46567</v>
      </c>
      <c r="D1903" s="17"/>
      <c r="J1903" s="2" t="s">
        <v>1974</v>
      </c>
    </row>
    <row r="1904" spans="1:10" x14ac:dyDescent="0.25">
      <c r="A1904" s="18" t="s">
        <v>528</v>
      </c>
      <c r="B1904">
        <v>0.8146977435287418</v>
      </c>
      <c r="C1904" s="17">
        <f t="shared" si="29"/>
        <v>46568</v>
      </c>
      <c r="D1904" s="17"/>
      <c r="J1904" s="2" t="s">
        <v>1975</v>
      </c>
    </row>
    <row r="1905" spans="1:10" x14ac:dyDescent="0.25">
      <c r="A1905" s="18" t="s">
        <v>1942</v>
      </c>
      <c r="B1905">
        <v>0.81586758139724092</v>
      </c>
      <c r="C1905" s="17">
        <f t="shared" si="29"/>
        <v>46569</v>
      </c>
      <c r="D1905" s="17"/>
      <c r="J1905" s="2" t="s">
        <v>1976</v>
      </c>
    </row>
    <row r="1906" spans="1:10" x14ac:dyDescent="0.25">
      <c r="A1906" s="18" t="s">
        <v>1063</v>
      </c>
      <c r="B1906">
        <v>0.81588940581305103</v>
      </c>
      <c r="C1906" s="17">
        <f t="shared" si="29"/>
        <v>46570</v>
      </c>
      <c r="D1906" s="17"/>
      <c r="J1906" s="2" t="s">
        <v>1977</v>
      </c>
    </row>
    <row r="1907" spans="1:10" x14ac:dyDescent="0.25">
      <c r="A1907" s="18" t="s">
        <v>1644</v>
      </c>
      <c r="B1907">
        <v>0.81641066090427361</v>
      </c>
      <c r="C1907" s="17">
        <f t="shared" si="29"/>
        <v>46571</v>
      </c>
      <c r="D1907" s="17"/>
      <c r="J1907" s="2" t="s">
        <v>1978</v>
      </c>
    </row>
    <row r="1908" spans="1:10" x14ac:dyDescent="0.25">
      <c r="A1908" s="18" t="s">
        <v>1962</v>
      </c>
      <c r="B1908">
        <v>0.816708663889403</v>
      </c>
      <c r="C1908" s="17">
        <f t="shared" si="29"/>
        <v>46572</v>
      </c>
      <c r="D1908" s="17"/>
      <c r="J1908" s="2" t="s">
        <v>1979</v>
      </c>
    </row>
    <row r="1909" spans="1:10" x14ac:dyDescent="0.25">
      <c r="A1909" s="18" t="s">
        <v>2108</v>
      </c>
      <c r="B1909">
        <v>0.81755219950749491</v>
      </c>
      <c r="C1909" s="17">
        <f t="shared" si="29"/>
        <v>46573</v>
      </c>
      <c r="D1909" s="17"/>
      <c r="J1909" s="2" t="s">
        <v>1980</v>
      </c>
    </row>
    <row r="1910" spans="1:10" x14ac:dyDescent="0.25">
      <c r="A1910" s="18" t="s">
        <v>1541</v>
      </c>
      <c r="B1910">
        <v>0.81762800724565676</v>
      </c>
      <c r="C1910" s="17">
        <f t="shared" si="29"/>
        <v>46574</v>
      </c>
      <c r="D1910" s="17"/>
      <c r="J1910" s="2" t="s">
        <v>146</v>
      </c>
    </row>
    <row r="1911" spans="1:10" x14ac:dyDescent="0.25">
      <c r="A1911" s="18" t="s">
        <v>204</v>
      </c>
      <c r="B1911">
        <v>0.81855711939764597</v>
      </c>
      <c r="C1911" s="17">
        <f t="shared" si="29"/>
        <v>46575</v>
      </c>
      <c r="D1911" s="17"/>
      <c r="J1911" s="2" t="s">
        <v>442</v>
      </c>
    </row>
    <row r="1912" spans="1:10" x14ac:dyDescent="0.25">
      <c r="A1912" s="18" t="s">
        <v>1418</v>
      </c>
      <c r="B1912">
        <v>0.82061170672078632</v>
      </c>
      <c r="C1912" s="17">
        <f t="shared" si="29"/>
        <v>46576</v>
      </c>
      <c r="D1912" s="17"/>
      <c r="J1912" s="2" t="s">
        <v>380</v>
      </c>
    </row>
    <row r="1913" spans="1:10" x14ac:dyDescent="0.25">
      <c r="A1913" s="18" t="s">
        <v>1997</v>
      </c>
      <c r="B1913">
        <v>0.82108328335891478</v>
      </c>
      <c r="C1913" s="17">
        <f t="shared" si="29"/>
        <v>46577</v>
      </c>
      <c r="D1913" s="17"/>
      <c r="J1913" s="2" t="s">
        <v>396</v>
      </c>
    </row>
    <row r="1914" spans="1:10" x14ac:dyDescent="0.25">
      <c r="A1914" s="18" t="s">
        <v>1047</v>
      </c>
      <c r="B1914">
        <v>0.82114656216486992</v>
      </c>
      <c r="C1914" s="17">
        <f t="shared" si="29"/>
        <v>46578</v>
      </c>
      <c r="D1914" s="17"/>
      <c r="J1914" s="2" t="s">
        <v>1981</v>
      </c>
    </row>
    <row r="1915" spans="1:10" x14ac:dyDescent="0.25">
      <c r="A1915" s="18" t="s">
        <v>2230</v>
      </c>
      <c r="B1915">
        <v>0.82185208827571699</v>
      </c>
      <c r="C1915" s="17">
        <f t="shared" si="29"/>
        <v>46579</v>
      </c>
      <c r="D1915" s="17"/>
      <c r="J1915" s="2" t="s">
        <v>1982</v>
      </c>
    </row>
    <row r="1916" spans="1:10" x14ac:dyDescent="0.25">
      <c r="A1916" s="18" t="s">
        <v>1982</v>
      </c>
      <c r="B1916">
        <v>0.82235037487880935</v>
      </c>
      <c r="C1916" s="17">
        <f t="shared" si="29"/>
        <v>46580</v>
      </c>
      <c r="D1916" s="17"/>
      <c r="J1916" s="2" t="s">
        <v>1983</v>
      </c>
    </row>
    <row r="1917" spans="1:10" x14ac:dyDescent="0.25">
      <c r="A1917" s="18" t="s">
        <v>1967</v>
      </c>
      <c r="B1917">
        <v>0.82373059533344395</v>
      </c>
      <c r="C1917" s="17">
        <f t="shared" si="29"/>
        <v>46581</v>
      </c>
      <c r="D1917" s="17"/>
      <c r="J1917" s="2" t="s">
        <v>1984</v>
      </c>
    </row>
    <row r="1918" spans="1:10" x14ac:dyDescent="0.25">
      <c r="A1918" s="18" t="s">
        <v>90</v>
      </c>
      <c r="B1918">
        <v>0.82407476633353383</v>
      </c>
      <c r="C1918" s="17">
        <f t="shared" si="29"/>
        <v>46582</v>
      </c>
      <c r="D1918" s="17"/>
      <c r="J1918" s="2" t="s">
        <v>1985</v>
      </c>
    </row>
    <row r="1919" spans="1:10" x14ac:dyDescent="0.25">
      <c r="A1919" s="18" t="s">
        <v>1081</v>
      </c>
      <c r="B1919">
        <v>0.82505359584351801</v>
      </c>
      <c r="C1919" s="17">
        <f t="shared" si="29"/>
        <v>46583</v>
      </c>
      <c r="D1919" s="17"/>
      <c r="J1919" s="2" t="s">
        <v>1986</v>
      </c>
    </row>
    <row r="1920" spans="1:10" x14ac:dyDescent="0.25">
      <c r="A1920" s="18" t="s">
        <v>2062</v>
      </c>
      <c r="B1920">
        <v>0.82512971011222114</v>
      </c>
      <c r="C1920" s="17">
        <f t="shared" si="29"/>
        <v>46584</v>
      </c>
      <c r="D1920" s="17"/>
      <c r="J1920" s="2" t="s">
        <v>1987</v>
      </c>
    </row>
    <row r="1921" spans="1:10" x14ac:dyDescent="0.25">
      <c r="A1921" s="18" t="s">
        <v>1824</v>
      </c>
      <c r="B1921">
        <v>0.82530153838163367</v>
      </c>
      <c r="C1921" s="17">
        <f t="shared" si="29"/>
        <v>46585</v>
      </c>
      <c r="D1921" s="17"/>
      <c r="J1921" s="2" t="s">
        <v>1988</v>
      </c>
    </row>
    <row r="1922" spans="1:10" x14ac:dyDescent="0.25">
      <c r="A1922" s="18" t="s">
        <v>2079</v>
      </c>
      <c r="B1922">
        <v>0.82550346346650072</v>
      </c>
      <c r="C1922" s="17">
        <f t="shared" si="29"/>
        <v>46586</v>
      </c>
      <c r="D1922" s="17"/>
      <c r="J1922" s="2" t="s">
        <v>1989</v>
      </c>
    </row>
    <row r="1923" spans="1:10" x14ac:dyDescent="0.25">
      <c r="A1923" s="18" t="s">
        <v>118</v>
      </c>
      <c r="B1923">
        <v>0.82590888659922745</v>
      </c>
      <c r="C1923" s="17">
        <f t="shared" si="29"/>
        <v>46587</v>
      </c>
      <c r="D1923" s="17"/>
      <c r="J1923" s="2" t="s">
        <v>1990</v>
      </c>
    </row>
    <row r="1924" spans="1:10" x14ac:dyDescent="0.25">
      <c r="A1924" s="18" t="s">
        <v>1598</v>
      </c>
      <c r="B1924">
        <v>0.82624792903441369</v>
      </c>
      <c r="C1924" s="17">
        <f t="shared" ref="C1924:C1987" si="30">C1923+1</f>
        <v>46588</v>
      </c>
      <c r="D1924" s="17"/>
      <c r="J1924" s="2" t="s">
        <v>49</v>
      </c>
    </row>
    <row r="1925" spans="1:10" x14ac:dyDescent="0.25">
      <c r="A1925" s="18" t="s">
        <v>89</v>
      </c>
      <c r="B1925">
        <v>0.8269376318544307</v>
      </c>
      <c r="C1925" s="17">
        <f t="shared" si="30"/>
        <v>46589</v>
      </c>
      <c r="D1925" s="17"/>
      <c r="J1925" s="2" t="s">
        <v>171</v>
      </c>
    </row>
    <row r="1926" spans="1:10" x14ac:dyDescent="0.25">
      <c r="A1926" s="18" t="s">
        <v>184</v>
      </c>
      <c r="B1926">
        <v>0.82696538285481469</v>
      </c>
      <c r="C1926" s="17">
        <f t="shared" si="30"/>
        <v>46590</v>
      </c>
      <c r="D1926" s="17"/>
      <c r="J1926" s="2" t="s">
        <v>1991</v>
      </c>
    </row>
    <row r="1927" spans="1:10" x14ac:dyDescent="0.25">
      <c r="A1927" s="18" t="s">
        <v>1080</v>
      </c>
      <c r="B1927">
        <v>0.82734769400528696</v>
      </c>
      <c r="C1927" s="17">
        <f t="shared" si="30"/>
        <v>46591</v>
      </c>
      <c r="D1927" s="17"/>
      <c r="J1927" s="2" t="s">
        <v>1992</v>
      </c>
    </row>
    <row r="1928" spans="1:10" x14ac:dyDescent="0.25">
      <c r="A1928" s="18" t="s">
        <v>786</v>
      </c>
      <c r="B1928">
        <v>0.82742356555068386</v>
      </c>
      <c r="C1928" s="17">
        <f t="shared" si="30"/>
        <v>46592</v>
      </c>
      <c r="D1928" s="17"/>
      <c r="J1928" s="2" t="s">
        <v>64</v>
      </c>
    </row>
    <row r="1929" spans="1:10" x14ac:dyDescent="0.25">
      <c r="A1929" s="18" t="s">
        <v>2008</v>
      </c>
      <c r="B1929">
        <v>0.8287216189625326</v>
      </c>
      <c r="C1929" s="17">
        <f t="shared" si="30"/>
        <v>46593</v>
      </c>
      <c r="D1929" s="17"/>
      <c r="J1929" s="2" t="s">
        <v>1993</v>
      </c>
    </row>
    <row r="1930" spans="1:10" x14ac:dyDescent="0.25">
      <c r="A1930" s="18" t="s">
        <v>1590</v>
      </c>
      <c r="B1930">
        <v>0.82901682945542043</v>
      </c>
      <c r="C1930" s="17">
        <f t="shared" si="30"/>
        <v>46594</v>
      </c>
      <c r="D1930" s="17"/>
      <c r="J1930" s="2" t="s">
        <v>1994</v>
      </c>
    </row>
    <row r="1931" spans="1:10" x14ac:dyDescent="0.25">
      <c r="A1931" s="18" t="s">
        <v>1110</v>
      </c>
      <c r="B1931">
        <v>0.82936497700904888</v>
      </c>
      <c r="C1931" s="17">
        <f t="shared" si="30"/>
        <v>46595</v>
      </c>
      <c r="D1931" s="17"/>
      <c r="J1931" s="2" t="s">
        <v>1995</v>
      </c>
    </row>
    <row r="1932" spans="1:10" x14ac:dyDescent="0.25">
      <c r="A1932" s="18" t="s">
        <v>1563</v>
      </c>
      <c r="B1932">
        <v>0.830021916446678</v>
      </c>
      <c r="C1932" s="17">
        <f t="shared" si="30"/>
        <v>46596</v>
      </c>
      <c r="D1932" s="17"/>
      <c r="J1932" s="2" t="s">
        <v>1996</v>
      </c>
    </row>
    <row r="1933" spans="1:10" x14ac:dyDescent="0.25">
      <c r="A1933" s="18" t="s">
        <v>1773</v>
      </c>
      <c r="B1933">
        <v>0.83034704432710726</v>
      </c>
      <c r="C1933" s="17">
        <f t="shared" si="30"/>
        <v>46597</v>
      </c>
      <c r="D1933" s="17"/>
      <c r="J1933" s="2" t="s">
        <v>1997</v>
      </c>
    </row>
    <row r="1934" spans="1:10" x14ac:dyDescent="0.25">
      <c r="A1934" s="18" t="s">
        <v>352</v>
      </c>
      <c r="B1934">
        <v>0.83146380052443614</v>
      </c>
      <c r="C1934" s="17">
        <f t="shared" si="30"/>
        <v>46598</v>
      </c>
      <c r="D1934" s="17"/>
      <c r="J1934" s="2" t="s">
        <v>1998</v>
      </c>
    </row>
    <row r="1935" spans="1:10" x14ac:dyDescent="0.25">
      <c r="A1935" s="18" t="s">
        <v>1646</v>
      </c>
      <c r="B1935">
        <v>0.83189174830446455</v>
      </c>
      <c r="C1935" s="17">
        <f t="shared" si="30"/>
        <v>46599</v>
      </c>
      <c r="D1935" s="17"/>
      <c r="J1935" s="2" t="s">
        <v>1999</v>
      </c>
    </row>
    <row r="1936" spans="1:10" x14ac:dyDescent="0.25">
      <c r="A1936" s="18" t="s">
        <v>725</v>
      </c>
      <c r="B1936">
        <v>0.83230604898781091</v>
      </c>
      <c r="C1936" s="17">
        <f t="shared" si="30"/>
        <v>46600</v>
      </c>
      <c r="D1936" s="17"/>
      <c r="J1936" s="2" t="s">
        <v>2000</v>
      </c>
    </row>
    <row r="1937" spans="1:10" x14ac:dyDescent="0.25">
      <c r="A1937" s="18" t="s">
        <v>370</v>
      </c>
      <c r="B1937">
        <v>0.83232901788063618</v>
      </c>
      <c r="C1937" s="17">
        <f t="shared" si="30"/>
        <v>46601</v>
      </c>
      <c r="D1937" s="17"/>
      <c r="J1937" s="2" t="s">
        <v>2001</v>
      </c>
    </row>
    <row r="1938" spans="1:10" x14ac:dyDescent="0.25">
      <c r="A1938" s="18" t="s">
        <v>1254</v>
      </c>
      <c r="B1938">
        <v>0.83283035012210582</v>
      </c>
      <c r="C1938" s="17">
        <f t="shared" si="30"/>
        <v>46602</v>
      </c>
      <c r="D1938" s="17"/>
      <c r="J1938" s="2" t="s">
        <v>2002</v>
      </c>
    </row>
    <row r="1939" spans="1:10" x14ac:dyDescent="0.25">
      <c r="A1939" s="18" t="s">
        <v>670</v>
      </c>
      <c r="B1939">
        <v>0.83362859053443894</v>
      </c>
      <c r="C1939" s="17">
        <f t="shared" si="30"/>
        <v>46603</v>
      </c>
      <c r="D1939" s="17"/>
      <c r="J1939" s="2" t="s">
        <v>2003</v>
      </c>
    </row>
    <row r="1940" spans="1:10" x14ac:dyDescent="0.25">
      <c r="A1940" s="18" t="s">
        <v>637</v>
      </c>
      <c r="B1940">
        <v>0.83473974931722417</v>
      </c>
      <c r="C1940" s="17">
        <f t="shared" si="30"/>
        <v>46604</v>
      </c>
      <c r="D1940" s="17"/>
      <c r="J1940" s="2" t="s">
        <v>2004</v>
      </c>
    </row>
    <row r="1941" spans="1:10" x14ac:dyDescent="0.25">
      <c r="A1941" s="18" t="s">
        <v>1118</v>
      </c>
      <c r="B1941">
        <v>0.83501743985325083</v>
      </c>
      <c r="C1941" s="17">
        <f t="shared" si="30"/>
        <v>46605</v>
      </c>
      <c r="D1941" s="17"/>
      <c r="J1941" s="2" t="s">
        <v>2005</v>
      </c>
    </row>
    <row r="1942" spans="1:10" x14ac:dyDescent="0.25">
      <c r="A1942" s="18" t="s">
        <v>446</v>
      </c>
      <c r="B1942">
        <v>0.83554543832224992</v>
      </c>
      <c r="C1942" s="17">
        <f t="shared" si="30"/>
        <v>46606</v>
      </c>
      <c r="D1942" s="17"/>
      <c r="J1942" s="2" t="s">
        <v>2006</v>
      </c>
    </row>
    <row r="1943" spans="1:10" x14ac:dyDescent="0.25">
      <c r="A1943" s="18" t="s">
        <v>2204</v>
      </c>
      <c r="B1943">
        <v>0.83570125319897548</v>
      </c>
      <c r="C1943" s="17">
        <f t="shared" si="30"/>
        <v>46607</v>
      </c>
      <c r="D1943" s="17"/>
      <c r="J1943" s="2" t="s">
        <v>2007</v>
      </c>
    </row>
    <row r="1944" spans="1:10" x14ac:dyDescent="0.25">
      <c r="A1944" s="18" t="s">
        <v>1897</v>
      </c>
      <c r="B1944">
        <v>0.83622919077772928</v>
      </c>
      <c r="C1944" s="17">
        <f t="shared" si="30"/>
        <v>46608</v>
      </c>
      <c r="D1944" s="17"/>
      <c r="J1944" s="2" t="s">
        <v>2008</v>
      </c>
    </row>
    <row r="1945" spans="1:10" x14ac:dyDescent="0.25">
      <c r="A1945" s="18" t="s">
        <v>1629</v>
      </c>
      <c r="B1945">
        <v>0.83742198735755302</v>
      </c>
      <c r="C1945" s="17">
        <f t="shared" si="30"/>
        <v>46609</v>
      </c>
      <c r="D1945" s="17"/>
      <c r="J1945" s="2" t="s">
        <v>2009</v>
      </c>
    </row>
    <row r="1946" spans="1:10" x14ac:dyDescent="0.25">
      <c r="A1946" s="18" t="s">
        <v>1326</v>
      </c>
      <c r="B1946">
        <v>0.83775777978867205</v>
      </c>
      <c r="C1946" s="17">
        <f t="shared" si="30"/>
        <v>46610</v>
      </c>
      <c r="D1946" s="17"/>
      <c r="J1946" s="2" t="s">
        <v>104</v>
      </c>
    </row>
    <row r="1947" spans="1:10" x14ac:dyDescent="0.25">
      <c r="A1947" s="18" t="s">
        <v>71</v>
      </c>
      <c r="B1947">
        <v>0.83818719204571457</v>
      </c>
      <c r="C1947" s="17">
        <f t="shared" si="30"/>
        <v>46611</v>
      </c>
      <c r="D1947" s="17"/>
      <c r="J1947" s="2" t="s">
        <v>421</v>
      </c>
    </row>
    <row r="1948" spans="1:10" x14ac:dyDescent="0.25">
      <c r="A1948" s="18" t="s">
        <v>2106</v>
      </c>
      <c r="B1948">
        <v>0.83889021826128451</v>
      </c>
      <c r="C1948" s="17">
        <f t="shared" si="30"/>
        <v>46612</v>
      </c>
      <c r="D1948" s="17"/>
      <c r="J1948" s="2" t="s">
        <v>2010</v>
      </c>
    </row>
    <row r="1949" spans="1:10" x14ac:dyDescent="0.25">
      <c r="A1949" s="18" t="s">
        <v>792</v>
      </c>
      <c r="B1949">
        <v>0.83974721652366635</v>
      </c>
      <c r="C1949" s="17">
        <f t="shared" si="30"/>
        <v>46613</v>
      </c>
      <c r="D1949" s="17"/>
      <c r="J1949" s="2" t="s">
        <v>2011</v>
      </c>
    </row>
    <row r="1950" spans="1:10" x14ac:dyDescent="0.25">
      <c r="A1950" s="18" t="s">
        <v>1555</v>
      </c>
      <c r="B1950">
        <v>0.8398116746697788</v>
      </c>
      <c r="C1950" s="17">
        <f t="shared" si="30"/>
        <v>46614</v>
      </c>
      <c r="D1950" s="17"/>
      <c r="J1950" s="2" t="s">
        <v>201</v>
      </c>
    </row>
    <row r="1951" spans="1:10" x14ac:dyDescent="0.25">
      <c r="A1951" s="18" t="s">
        <v>1144</v>
      </c>
      <c r="B1951">
        <v>0.83988897914986949</v>
      </c>
      <c r="C1951" s="17">
        <f t="shared" si="30"/>
        <v>46615</v>
      </c>
      <c r="D1951" s="17"/>
      <c r="J1951" s="2" t="s">
        <v>2012</v>
      </c>
    </row>
    <row r="1952" spans="1:10" x14ac:dyDescent="0.25">
      <c r="A1952" s="18" t="s">
        <v>1837</v>
      </c>
      <c r="B1952">
        <v>0.8400215384961992</v>
      </c>
      <c r="C1952" s="17">
        <f t="shared" si="30"/>
        <v>46616</v>
      </c>
      <c r="D1952" s="17"/>
      <c r="J1952" s="2" t="s">
        <v>2013</v>
      </c>
    </row>
    <row r="1953" spans="1:10" x14ac:dyDescent="0.25">
      <c r="A1953" s="18" t="s">
        <v>1712</v>
      </c>
      <c r="B1953">
        <v>0.84044347333236458</v>
      </c>
      <c r="C1953" s="17">
        <f t="shared" si="30"/>
        <v>46617</v>
      </c>
      <c r="D1953" s="17"/>
      <c r="J1953" s="2" t="s">
        <v>2014</v>
      </c>
    </row>
    <row r="1954" spans="1:10" x14ac:dyDescent="0.25">
      <c r="A1954" s="18" t="s">
        <v>1062</v>
      </c>
      <c r="B1954">
        <v>0.84088844729828416</v>
      </c>
      <c r="C1954" s="17">
        <f t="shared" si="30"/>
        <v>46618</v>
      </c>
      <c r="D1954" s="17"/>
      <c r="J1954" s="2" t="s">
        <v>2015</v>
      </c>
    </row>
    <row r="1955" spans="1:10" x14ac:dyDescent="0.25">
      <c r="A1955" s="18" t="s">
        <v>216</v>
      </c>
      <c r="B1955">
        <v>0.84153200057779698</v>
      </c>
      <c r="C1955" s="17">
        <f t="shared" si="30"/>
        <v>46619</v>
      </c>
      <c r="D1955" s="17"/>
      <c r="J1955" s="2" t="s">
        <v>2016</v>
      </c>
    </row>
    <row r="1956" spans="1:10" x14ac:dyDescent="0.25">
      <c r="A1956" s="18" t="s">
        <v>593</v>
      </c>
      <c r="B1956">
        <v>0.84154526064543411</v>
      </c>
      <c r="C1956" s="17">
        <f t="shared" si="30"/>
        <v>46620</v>
      </c>
      <c r="D1956" s="17"/>
      <c r="J1956" s="2" t="s">
        <v>2017</v>
      </c>
    </row>
    <row r="1957" spans="1:10" x14ac:dyDescent="0.25">
      <c r="A1957" s="18" t="s">
        <v>1791</v>
      </c>
      <c r="B1957">
        <v>0.84204164891379341</v>
      </c>
      <c r="C1957" s="17">
        <f t="shared" si="30"/>
        <v>46621</v>
      </c>
      <c r="D1957" s="17"/>
      <c r="J1957" s="2" t="s">
        <v>2018</v>
      </c>
    </row>
    <row r="1958" spans="1:10" x14ac:dyDescent="0.25">
      <c r="A1958" s="18" t="s">
        <v>189</v>
      </c>
      <c r="B1958">
        <v>0.84245734720851895</v>
      </c>
      <c r="C1958" s="17">
        <f t="shared" si="30"/>
        <v>46622</v>
      </c>
      <c r="D1958" s="17"/>
      <c r="J1958" s="2" t="s">
        <v>2019</v>
      </c>
    </row>
    <row r="1959" spans="1:10" x14ac:dyDescent="0.25">
      <c r="A1959" s="18" t="s">
        <v>1218</v>
      </c>
      <c r="B1959">
        <v>0.84286101465398588</v>
      </c>
      <c r="C1959" s="17">
        <f t="shared" si="30"/>
        <v>46623</v>
      </c>
      <c r="D1959" s="17"/>
      <c r="J1959" s="2" t="s">
        <v>2020</v>
      </c>
    </row>
    <row r="1960" spans="1:10" x14ac:dyDescent="0.25">
      <c r="A1960" s="18" t="s">
        <v>2223</v>
      </c>
      <c r="B1960">
        <v>0.84316919411249625</v>
      </c>
      <c r="C1960" s="17">
        <f t="shared" si="30"/>
        <v>46624</v>
      </c>
      <c r="D1960" s="17"/>
      <c r="J1960" s="2" t="s">
        <v>2021</v>
      </c>
    </row>
    <row r="1961" spans="1:10" x14ac:dyDescent="0.25">
      <c r="A1961" s="18" t="s">
        <v>502</v>
      </c>
      <c r="B1961">
        <v>0.84334470140778395</v>
      </c>
      <c r="C1961" s="17">
        <f t="shared" si="30"/>
        <v>46625</v>
      </c>
      <c r="D1961" s="17"/>
      <c r="J1961" s="2" t="s">
        <v>2022</v>
      </c>
    </row>
    <row r="1962" spans="1:10" x14ac:dyDescent="0.25">
      <c r="A1962" s="18" t="s">
        <v>1855</v>
      </c>
      <c r="B1962">
        <v>0.8433754790172634</v>
      </c>
      <c r="C1962" s="17">
        <f t="shared" si="30"/>
        <v>46626</v>
      </c>
      <c r="D1962" s="17"/>
      <c r="J1962" s="2" t="s">
        <v>2023</v>
      </c>
    </row>
    <row r="1963" spans="1:10" x14ac:dyDescent="0.25">
      <c r="A1963" s="18" t="s">
        <v>1114</v>
      </c>
      <c r="B1963">
        <v>0.8442056796544799</v>
      </c>
      <c r="C1963" s="17">
        <f t="shared" si="30"/>
        <v>46627</v>
      </c>
      <c r="D1963" s="17"/>
      <c r="J1963" s="2" t="s">
        <v>2024</v>
      </c>
    </row>
    <row r="1964" spans="1:10" x14ac:dyDescent="0.25">
      <c r="A1964" s="18" t="s">
        <v>1079</v>
      </c>
      <c r="B1964">
        <v>0.84450830062250082</v>
      </c>
      <c r="C1964" s="17">
        <f t="shared" si="30"/>
        <v>46628</v>
      </c>
      <c r="D1964" s="17"/>
      <c r="J1964" s="2" t="s">
        <v>2025</v>
      </c>
    </row>
    <row r="1965" spans="1:10" x14ac:dyDescent="0.25">
      <c r="A1965" s="18" t="s">
        <v>1059</v>
      </c>
      <c r="B1965">
        <v>0.84455878270176921</v>
      </c>
      <c r="C1965" s="17">
        <f t="shared" si="30"/>
        <v>46629</v>
      </c>
      <c r="D1965" s="17"/>
      <c r="J1965" s="2" t="s">
        <v>2026</v>
      </c>
    </row>
    <row r="1966" spans="1:10" x14ac:dyDescent="0.25">
      <c r="A1966" s="18" t="s">
        <v>2071</v>
      </c>
      <c r="B1966">
        <v>0.84487421220478609</v>
      </c>
      <c r="C1966" s="17">
        <f t="shared" si="30"/>
        <v>46630</v>
      </c>
      <c r="D1966" s="17"/>
      <c r="J1966" s="2" t="s">
        <v>2027</v>
      </c>
    </row>
    <row r="1967" spans="1:10" x14ac:dyDescent="0.25">
      <c r="A1967" s="18" t="s">
        <v>636</v>
      </c>
      <c r="B1967">
        <v>0.84492873003927094</v>
      </c>
      <c r="C1967" s="17">
        <f t="shared" si="30"/>
        <v>46631</v>
      </c>
      <c r="D1967" s="17"/>
      <c r="J1967" s="2" t="s">
        <v>2028</v>
      </c>
    </row>
    <row r="1968" spans="1:10" x14ac:dyDescent="0.25">
      <c r="A1968" s="18" t="s">
        <v>671</v>
      </c>
      <c r="B1968">
        <v>0.84568894976785169</v>
      </c>
      <c r="C1968" s="17">
        <f t="shared" si="30"/>
        <v>46632</v>
      </c>
      <c r="D1968" s="17"/>
      <c r="J1968" s="2" t="s">
        <v>2029</v>
      </c>
    </row>
    <row r="1969" spans="1:10" x14ac:dyDescent="0.25">
      <c r="A1969" s="18" t="s">
        <v>1045</v>
      </c>
      <c r="B1969">
        <v>0.84605233569521221</v>
      </c>
      <c r="C1969" s="17">
        <f t="shared" si="30"/>
        <v>46633</v>
      </c>
      <c r="D1969" s="17"/>
      <c r="J1969" s="2" t="s">
        <v>2030</v>
      </c>
    </row>
    <row r="1970" spans="1:10" x14ac:dyDescent="0.25">
      <c r="A1970" s="18" t="s">
        <v>675</v>
      </c>
      <c r="B1970">
        <v>0.84615566674402298</v>
      </c>
      <c r="C1970" s="17">
        <f t="shared" si="30"/>
        <v>46634</v>
      </c>
      <c r="D1970" s="17"/>
      <c r="J1970" s="2" t="s">
        <v>2031</v>
      </c>
    </row>
    <row r="1971" spans="1:10" x14ac:dyDescent="0.25">
      <c r="A1971" s="18" t="s">
        <v>882</v>
      </c>
      <c r="B1971">
        <v>0.84668936849044962</v>
      </c>
      <c r="C1971" s="17">
        <f t="shared" si="30"/>
        <v>46635</v>
      </c>
      <c r="D1971" s="17"/>
      <c r="J1971" s="2" t="s">
        <v>2032</v>
      </c>
    </row>
    <row r="1972" spans="1:10" x14ac:dyDescent="0.25">
      <c r="A1972" s="18" t="s">
        <v>1922</v>
      </c>
      <c r="B1972">
        <v>0.84674951314257585</v>
      </c>
      <c r="C1972" s="17">
        <f t="shared" si="30"/>
        <v>46636</v>
      </c>
      <c r="D1972" s="17"/>
      <c r="J1972" s="2" t="s">
        <v>2033</v>
      </c>
    </row>
    <row r="1973" spans="1:10" x14ac:dyDescent="0.25">
      <c r="A1973" s="18" t="s">
        <v>248</v>
      </c>
      <c r="B1973">
        <v>0.84688700566112673</v>
      </c>
      <c r="C1973" s="17">
        <f t="shared" si="30"/>
        <v>46637</v>
      </c>
      <c r="D1973" s="17"/>
      <c r="J1973" s="2" t="s">
        <v>2034</v>
      </c>
    </row>
    <row r="1974" spans="1:10" x14ac:dyDescent="0.25">
      <c r="A1974" s="18" t="s">
        <v>267</v>
      </c>
      <c r="B1974">
        <v>0.84719354698953531</v>
      </c>
      <c r="C1974" s="17">
        <f t="shared" si="30"/>
        <v>46638</v>
      </c>
      <c r="D1974" s="17"/>
      <c r="J1974" s="2" t="s">
        <v>2035</v>
      </c>
    </row>
    <row r="1975" spans="1:10" x14ac:dyDescent="0.25">
      <c r="A1975" s="18" t="s">
        <v>304</v>
      </c>
      <c r="B1975">
        <v>0.84814508288111379</v>
      </c>
      <c r="C1975" s="17">
        <f t="shared" si="30"/>
        <v>46639</v>
      </c>
      <c r="D1975" s="17"/>
      <c r="J1975" s="2" t="s">
        <v>2036</v>
      </c>
    </row>
    <row r="1976" spans="1:10" x14ac:dyDescent="0.25">
      <c r="A1976" s="18" t="s">
        <v>839</v>
      </c>
      <c r="B1976">
        <v>0.84871324996410358</v>
      </c>
      <c r="C1976" s="17">
        <f t="shared" si="30"/>
        <v>46640</v>
      </c>
      <c r="D1976" s="17"/>
      <c r="J1976" s="2" t="s">
        <v>2037</v>
      </c>
    </row>
    <row r="1977" spans="1:10" x14ac:dyDescent="0.25">
      <c r="A1977" s="18" t="s">
        <v>307</v>
      </c>
      <c r="B1977">
        <v>0.84877651461672943</v>
      </c>
      <c r="C1977" s="17">
        <f t="shared" si="30"/>
        <v>46641</v>
      </c>
      <c r="D1977" s="17"/>
      <c r="J1977" s="2" t="s">
        <v>2038</v>
      </c>
    </row>
    <row r="1978" spans="1:10" x14ac:dyDescent="0.25">
      <c r="A1978" s="18" t="s">
        <v>1262</v>
      </c>
      <c r="B1978">
        <v>0.84940916327884064</v>
      </c>
      <c r="C1978" s="17">
        <f t="shared" si="30"/>
        <v>46642</v>
      </c>
      <c r="D1978" s="17"/>
      <c r="J1978" s="2" t="s">
        <v>2039</v>
      </c>
    </row>
    <row r="1979" spans="1:10" x14ac:dyDescent="0.25">
      <c r="A1979" s="18" t="s">
        <v>1827</v>
      </c>
      <c r="B1979">
        <v>0.84956190645508867</v>
      </c>
      <c r="C1979" s="17">
        <f t="shared" si="30"/>
        <v>46643</v>
      </c>
      <c r="D1979" s="17"/>
      <c r="J1979" s="2" t="s">
        <v>2040</v>
      </c>
    </row>
    <row r="1980" spans="1:10" x14ac:dyDescent="0.25">
      <c r="A1980" s="18" t="s">
        <v>2065</v>
      </c>
      <c r="B1980">
        <v>0.84994659436181741</v>
      </c>
      <c r="C1980" s="17">
        <f t="shared" si="30"/>
        <v>46644</v>
      </c>
      <c r="D1980" s="17"/>
      <c r="J1980" s="2" t="s">
        <v>2041</v>
      </c>
    </row>
    <row r="1981" spans="1:10" x14ac:dyDescent="0.25">
      <c r="A1981" s="18" t="s">
        <v>1085</v>
      </c>
      <c r="B1981">
        <v>0.85025831785091777</v>
      </c>
      <c r="C1981" s="17">
        <f t="shared" si="30"/>
        <v>46645</v>
      </c>
      <c r="D1981" s="17"/>
      <c r="J1981" s="2" t="s">
        <v>2042</v>
      </c>
    </row>
    <row r="1982" spans="1:10" x14ac:dyDescent="0.25">
      <c r="A1982" s="18" t="s">
        <v>2001</v>
      </c>
      <c r="B1982">
        <v>0.85050528757836363</v>
      </c>
      <c r="C1982" s="17">
        <f t="shared" si="30"/>
        <v>46646</v>
      </c>
      <c r="D1982" s="17"/>
      <c r="J1982" s="2" t="s">
        <v>2043</v>
      </c>
    </row>
    <row r="1983" spans="1:10" x14ac:dyDescent="0.25">
      <c r="A1983" s="18" t="s">
        <v>303</v>
      </c>
      <c r="B1983">
        <v>0.85161067839061699</v>
      </c>
      <c r="C1983" s="17">
        <f t="shared" si="30"/>
        <v>46647</v>
      </c>
      <c r="D1983" s="17"/>
      <c r="J1983" s="2" t="s">
        <v>2044</v>
      </c>
    </row>
    <row r="1984" spans="1:10" x14ac:dyDescent="0.25">
      <c r="A1984" s="18" t="s">
        <v>2032</v>
      </c>
      <c r="B1984">
        <v>0.85288639033523683</v>
      </c>
      <c r="C1984" s="17">
        <f t="shared" si="30"/>
        <v>46648</v>
      </c>
      <c r="D1984" s="17"/>
      <c r="J1984" s="2" t="s">
        <v>30</v>
      </c>
    </row>
    <row r="1985" spans="1:10" x14ac:dyDescent="0.25">
      <c r="A1985" s="18" t="s">
        <v>1093</v>
      </c>
      <c r="B1985">
        <v>0.85292771083745567</v>
      </c>
      <c r="C1985" s="17">
        <f t="shared" si="30"/>
        <v>46649</v>
      </c>
      <c r="D1985" s="17"/>
      <c r="J1985" s="2" t="s">
        <v>296</v>
      </c>
    </row>
    <row r="1986" spans="1:10" x14ac:dyDescent="0.25">
      <c r="A1986" s="18" t="s">
        <v>196</v>
      </c>
      <c r="B1986">
        <v>0.85313472862476847</v>
      </c>
      <c r="C1986" s="17">
        <f t="shared" si="30"/>
        <v>46650</v>
      </c>
      <c r="D1986" s="17"/>
      <c r="J1986" s="2" t="s">
        <v>2045</v>
      </c>
    </row>
    <row r="1987" spans="1:10" x14ac:dyDescent="0.25">
      <c r="A1987" s="18" t="s">
        <v>1843</v>
      </c>
      <c r="B1987">
        <v>0.85390200719275777</v>
      </c>
      <c r="C1987" s="17">
        <f t="shared" si="30"/>
        <v>46651</v>
      </c>
      <c r="D1987" s="17"/>
      <c r="J1987" s="2" t="s">
        <v>2046</v>
      </c>
    </row>
    <row r="1988" spans="1:10" x14ac:dyDescent="0.25">
      <c r="A1988" s="18" t="s">
        <v>434</v>
      </c>
      <c r="B1988">
        <v>0.85398324590616226</v>
      </c>
      <c r="C1988" s="17">
        <f t="shared" ref="C1988:C2051" si="31">C1987+1</f>
        <v>46652</v>
      </c>
      <c r="D1988" s="17"/>
      <c r="J1988" s="2" t="s">
        <v>2047</v>
      </c>
    </row>
    <row r="1989" spans="1:10" x14ac:dyDescent="0.25">
      <c r="A1989" s="18" t="s">
        <v>1356</v>
      </c>
      <c r="B1989">
        <v>0.85435202695820034</v>
      </c>
      <c r="C1989" s="17">
        <f t="shared" si="31"/>
        <v>46653</v>
      </c>
      <c r="D1989" s="17"/>
      <c r="J1989" s="2" t="s">
        <v>2048</v>
      </c>
    </row>
    <row r="1990" spans="1:10" x14ac:dyDescent="0.25">
      <c r="A1990" s="18" t="s">
        <v>1028</v>
      </c>
      <c r="B1990">
        <v>0.85437019061768038</v>
      </c>
      <c r="C1990" s="17">
        <f t="shared" si="31"/>
        <v>46654</v>
      </c>
      <c r="D1990" s="17"/>
      <c r="J1990" s="2" t="s">
        <v>2049</v>
      </c>
    </row>
    <row r="1991" spans="1:10" x14ac:dyDescent="0.25">
      <c r="A1991" s="18" t="s">
        <v>1257</v>
      </c>
      <c r="B1991">
        <v>0.85454168392280783</v>
      </c>
      <c r="C1991" s="17">
        <f t="shared" si="31"/>
        <v>46655</v>
      </c>
      <c r="D1991" s="17"/>
      <c r="J1991" s="2" t="s">
        <v>249</v>
      </c>
    </row>
    <row r="1992" spans="1:10" x14ac:dyDescent="0.25">
      <c r="A1992" s="18" t="s">
        <v>2006</v>
      </c>
      <c r="B1992">
        <v>0.85496630444230903</v>
      </c>
      <c r="C1992" s="17">
        <f t="shared" si="31"/>
        <v>46656</v>
      </c>
      <c r="D1992" s="17"/>
      <c r="J1992" s="2" t="s">
        <v>2050</v>
      </c>
    </row>
    <row r="1993" spans="1:10" x14ac:dyDescent="0.25">
      <c r="A1993" s="18" t="s">
        <v>363</v>
      </c>
      <c r="B1993">
        <v>0.85525125713066275</v>
      </c>
      <c r="C1993" s="17">
        <f t="shared" si="31"/>
        <v>46657</v>
      </c>
      <c r="D1993" s="17"/>
      <c r="J1993" s="2" t="s">
        <v>2051</v>
      </c>
    </row>
    <row r="1994" spans="1:10" x14ac:dyDescent="0.25">
      <c r="A1994" s="18" t="s">
        <v>1428</v>
      </c>
      <c r="B1994">
        <v>0.85526548485529108</v>
      </c>
      <c r="C1994" s="17">
        <f t="shared" si="31"/>
        <v>46658</v>
      </c>
      <c r="D1994" s="17"/>
      <c r="J1994" s="2" t="s">
        <v>2052</v>
      </c>
    </row>
    <row r="1995" spans="1:10" x14ac:dyDescent="0.25">
      <c r="A1995" s="18" t="s">
        <v>2121</v>
      </c>
      <c r="B1995">
        <v>0.85529787179278804</v>
      </c>
      <c r="C1995" s="17">
        <f t="shared" si="31"/>
        <v>46659</v>
      </c>
      <c r="D1995" s="17"/>
      <c r="J1995" s="2" t="s">
        <v>2053</v>
      </c>
    </row>
    <row r="1996" spans="1:10" x14ac:dyDescent="0.25">
      <c r="A1996" s="18" t="s">
        <v>785</v>
      </c>
      <c r="B1996">
        <v>0.85533026717184402</v>
      </c>
      <c r="C1996" s="17">
        <f t="shared" si="31"/>
        <v>46660</v>
      </c>
      <c r="D1996" s="17"/>
      <c r="J1996" s="2" t="s">
        <v>2054</v>
      </c>
    </row>
    <row r="1997" spans="1:10" x14ac:dyDescent="0.25">
      <c r="A1997" s="18" t="s">
        <v>1185</v>
      </c>
      <c r="B1997">
        <v>0.85553043610027002</v>
      </c>
      <c r="C1997" s="17">
        <f t="shared" si="31"/>
        <v>46661</v>
      </c>
      <c r="D1997" s="17"/>
      <c r="J1997" s="2" t="s">
        <v>2055</v>
      </c>
    </row>
    <row r="1998" spans="1:10" x14ac:dyDescent="0.25">
      <c r="A1998" s="18" t="s">
        <v>1137</v>
      </c>
      <c r="B1998">
        <v>0.85575346658761886</v>
      </c>
      <c r="C1998" s="17">
        <f t="shared" si="31"/>
        <v>46662</v>
      </c>
      <c r="D1998" s="17"/>
      <c r="J1998" s="2" t="s">
        <v>2056</v>
      </c>
    </row>
    <row r="1999" spans="1:10" x14ac:dyDescent="0.25">
      <c r="A1999" s="18" t="s">
        <v>317</v>
      </c>
      <c r="B1999">
        <v>0.85633977014208329</v>
      </c>
      <c r="C1999" s="17">
        <f t="shared" si="31"/>
        <v>46663</v>
      </c>
      <c r="D1999" s="17"/>
      <c r="J1999" s="2" t="s">
        <v>2057</v>
      </c>
    </row>
    <row r="2000" spans="1:10" x14ac:dyDescent="0.25">
      <c r="A2000" s="18" t="s">
        <v>1272</v>
      </c>
      <c r="B2000">
        <v>0.85753805470725986</v>
      </c>
      <c r="C2000" s="17">
        <f t="shared" si="31"/>
        <v>46664</v>
      </c>
      <c r="D2000" s="17"/>
      <c r="J2000" s="2" t="s">
        <v>464</v>
      </c>
    </row>
    <row r="2001" spans="1:10" x14ac:dyDescent="0.25">
      <c r="A2001" s="18" t="s">
        <v>901</v>
      </c>
      <c r="B2001">
        <v>0.85842598734509135</v>
      </c>
      <c r="C2001" s="17">
        <f t="shared" si="31"/>
        <v>46665</v>
      </c>
      <c r="D2001" s="17"/>
      <c r="J2001" s="2" t="s">
        <v>456</v>
      </c>
    </row>
    <row r="2002" spans="1:10" x14ac:dyDescent="0.25">
      <c r="A2002" s="18" t="s">
        <v>1613</v>
      </c>
      <c r="B2002">
        <v>0.86010131464328177</v>
      </c>
      <c r="C2002" s="17">
        <f t="shared" si="31"/>
        <v>46666</v>
      </c>
      <c r="D2002" s="17"/>
      <c r="J2002" s="2" t="s">
        <v>2058</v>
      </c>
    </row>
    <row r="2003" spans="1:10" x14ac:dyDescent="0.25">
      <c r="A2003" s="18" t="s">
        <v>1848</v>
      </c>
      <c r="B2003">
        <v>0.86039653116130144</v>
      </c>
      <c r="C2003" s="17">
        <f t="shared" si="31"/>
        <v>46667</v>
      </c>
      <c r="D2003" s="17"/>
      <c r="J2003" s="2" t="s">
        <v>2059</v>
      </c>
    </row>
    <row r="2004" spans="1:10" x14ac:dyDescent="0.25">
      <c r="A2004" s="18" t="s">
        <v>494</v>
      </c>
      <c r="B2004">
        <v>0.86085692963537452</v>
      </c>
      <c r="C2004" s="17">
        <f t="shared" si="31"/>
        <v>46668</v>
      </c>
      <c r="D2004" s="17"/>
      <c r="J2004" s="2" t="s">
        <v>188</v>
      </c>
    </row>
    <row r="2005" spans="1:10" x14ac:dyDescent="0.25">
      <c r="A2005" s="18" t="s">
        <v>648</v>
      </c>
      <c r="B2005">
        <v>0.86093066493544168</v>
      </c>
      <c r="C2005" s="17">
        <f t="shared" si="31"/>
        <v>46669</v>
      </c>
      <c r="D2005" s="17"/>
      <c r="J2005" s="2" t="s">
        <v>2060</v>
      </c>
    </row>
    <row r="2006" spans="1:10" x14ac:dyDescent="0.25">
      <c r="A2006" s="18" t="s">
        <v>1634</v>
      </c>
      <c r="B2006">
        <v>0.86105896686438521</v>
      </c>
      <c r="C2006" s="17">
        <f t="shared" si="31"/>
        <v>46670</v>
      </c>
      <c r="D2006" s="17"/>
      <c r="J2006" s="2" t="s">
        <v>2061</v>
      </c>
    </row>
    <row r="2007" spans="1:10" x14ac:dyDescent="0.25">
      <c r="A2007" s="18" t="s">
        <v>910</v>
      </c>
      <c r="B2007">
        <v>0.86159689485781288</v>
      </c>
      <c r="C2007" s="17">
        <f t="shared" si="31"/>
        <v>46671</v>
      </c>
      <c r="D2007" s="17"/>
      <c r="J2007" s="2" t="s">
        <v>2062</v>
      </c>
    </row>
    <row r="2008" spans="1:10" x14ac:dyDescent="0.25">
      <c r="A2008" s="18" t="s">
        <v>1511</v>
      </c>
      <c r="B2008">
        <v>0.86271549261417535</v>
      </c>
      <c r="C2008" s="17">
        <f t="shared" si="31"/>
        <v>46672</v>
      </c>
      <c r="D2008" s="17"/>
      <c r="J2008" s="2" t="s">
        <v>2063</v>
      </c>
    </row>
    <row r="2009" spans="1:10" x14ac:dyDescent="0.25">
      <c r="A2009" s="18" t="s">
        <v>1755</v>
      </c>
      <c r="B2009">
        <v>0.86280041932120055</v>
      </c>
      <c r="C2009" s="17">
        <f t="shared" si="31"/>
        <v>46673</v>
      </c>
      <c r="D2009" s="17"/>
      <c r="J2009" s="2" t="s">
        <v>169</v>
      </c>
    </row>
    <row r="2010" spans="1:10" x14ac:dyDescent="0.25">
      <c r="A2010" s="18" t="s">
        <v>1966</v>
      </c>
      <c r="B2010">
        <v>0.86325603540224805</v>
      </c>
      <c r="C2010" s="17">
        <f t="shared" si="31"/>
        <v>46674</v>
      </c>
      <c r="D2010" s="17"/>
      <c r="J2010" s="2" t="s">
        <v>2064</v>
      </c>
    </row>
    <row r="2011" spans="1:10" x14ac:dyDescent="0.25">
      <c r="A2011" s="18" t="s">
        <v>2308</v>
      </c>
      <c r="B2011">
        <v>0.86328726897362085</v>
      </c>
      <c r="C2011" s="17">
        <f t="shared" si="31"/>
        <v>46675</v>
      </c>
      <c r="D2011" s="17"/>
      <c r="J2011" s="2" t="s">
        <v>2065</v>
      </c>
    </row>
    <row r="2012" spans="1:10" x14ac:dyDescent="0.25">
      <c r="A2012" s="18" t="s">
        <v>1049</v>
      </c>
      <c r="B2012">
        <v>0.86373533819966108</v>
      </c>
      <c r="C2012" s="17">
        <f t="shared" si="31"/>
        <v>46676</v>
      </c>
      <c r="D2012" s="17"/>
      <c r="J2012" s="2" t="s">
        <v>2066</v>
      </c>
    </row>
    <row r="2013" spans="1:10" x14ac:dyDescent="0.25">
      <c r="A2013" s="18" t="s">
        <v>99</v>
      </c>
      <c r="B2013">
        <v>0.86421392491118398</v>
      </c>
      <c r="C2013" s="17">
        <f t="shared" si="31"/>
        <v>46677</v>
      </c>
      <c r="D2013" s="17"/>
      <c r="J2013" s="2" t="s">
        <v>2067</v>
      </c>
    </row>
    <row r="2014" spans="1:10" x14ac:dyDescent="0.25">
      <c r="A2014" s="18" t="s">
        <v>1876</v>
      </c>
      <c r="B2014">
        <v>0.86545359164439351</v>
      </c>
      <c r="C2014" s="17">
        <f t="shared" si="31"/>
        <v>46678</v>
      </c>
      <c r="D2014" s="17"/>
      <c r="J2014" s="2" t="s">
        <v>2068</v>
      </c>
    </row>
    <row r="2015" spans="1:10" x14ac:dyDescent="0.25">
      <c r="A2015" s="18" t="s">
        <v>1303</v>
      </c>
      <c r="B2015">
        <v>0.86610034528964253</v>
      </c>
      <c r="C2015" s="17">
        <f t="shared" si="31"/>
        <v>46679</v>
      </c>
      <c r="D2015" s="17"/>
      <c r="J2015" s="2" t="s">
        <v>2069</v>
      </c>
    </row>
    <row r="2016" spans="1:10" x14ac:dyDescent="0.25">
      <c r="A2016" s="18" t="s">
        <v>6</v>
      </c>
      <c r="B2016">
        <v>0.86756494299447018</v>
      </c>
      <c r="C2016" s="17">
        <f t="shared" si="31"/>
        <v>46680</v>
      </c>
      <c r="D2016" s="17"/>
      <c r="J2016" s="2" t="s">
        <v>160</v>
      </c>
    </row>
    <row r="2017" spans="1:10" x14ac:dyDescent="0.25">
      <c r="A2017" s="18" t="s">
        <v>2238</v>
      </c>
      <c r="B2017">
        <v>0.86803548541412878</v>
      </c>
      <c r="C2017" s="17">
        <f t="shared" si="31"/>
        <v>46681</v>
      </c>
      <c r="D2017" s="17"/>
      <c r="J2017" s="2" t="s">
        <v>2070</v>
      </c>
    </row>
    <row r="2018" spans="1:10" x14ac:dyDescent="0.25">
      <c r="A2018" s="18" t="s">
        <v>1402</v>
      </c>
      <c r="B2018">
        <v>0.86807467248499182</v>
      </c>
      <c r="C2018" s="17">
        <f t="shared" si="31"/>
        <v>46682</v>
      </c>
      <c r="D2018" s="17"/>
      <c r="J2018" s="2" t="s">
        <v>2071</v>
      </c>
    </row>
    <row r="2019" spans="1:10" x14ac:dyDescent="0.25">
      <c r="A2019" s="18" t="s">
        <v>1533</v>
      </c>
      <c r="B2019">
        <v>0.86961589203202216</v>
      </c>
      <c r="C2019" s="17">
        <f t="shared" si="31"/>
        <v>46683</v>
      </c>
      <c r="D2019" s="17"/>
      <c r="J2019" s="2" t="s">
        <v>2072</v>
      </c>
    </row>
    <row r="2020" spans="1:10" x14ac:dyDescent="0.25">
      <c r="A2020" s="18" t="s">
        <v>260</v>
      </c>
      <c r="B2020">
        <v>0.86972532647506229</v>
      </c>
      <c r="C2020" s="17">
        <f t="shared" si="31"/>
        <v>46684</v>
      </c>
      <c r="D2020" s="17"/>
      <c r="J2020" s="2" t="s">
        <v>2073</v>
      </c>
    </row>
    <row r="2021" spans="1:10" x14ac:dyDescent="0.25">
      <c r="A2021" s="18" t="s">
        <v>1782</v>
      </c>
      <c r="B2021">
        <v>0.86973054469747657</v>
      </c>
      <c r="C2021" s="17">
        <f t="shared" si="31"/>
        <v>46685</v>
      </c>
      <c r="D2021" s="17"/>
      <c r="J2021" s="2" t="s">
        <v>2074</v>
      </c>
    </row>
    <row r="2022" spans="1:10" x14ac:dyDescent="0.25">
      <c r="A2022" s="18" t="s">
        <v>10</v>
      </c>
      <c r="B2022">
        <v>0.86991119635713154</v>
      </c>
      <c r="C2022" s="17">
        <f t="shared" si="31"/>
        <v>46686</v>
      </c>
      <c r="D2022" s="17"/>
      <c r="J2022" s="2" t="s">
        <v>2075</v>
      </c>
    </row>
    <row r="2023" spans="1:10" x14ac:dyDescent="0.25">
      <c r="A2023" s="18" t="s">
        <v>470</v>
      </c>
      <c r="B2023">
        <v>0.87008526001302877</v>
      </c>
      <c r="C2023" s="17">
        <f t="shared" si="31"/>
        <v>46687</v>
      </c>
      <c r="D2023" s="17"/>
      <c r="J2023" s="2" t="s">
        <v>2076</v>
      </c>
    </row>
    <row r="2024" spans="1:10" x14ac:dyDescent="0.25">
      <c r="A2024" s="18" t="s">
        <v>1293</v>
      </c>
      <c r="B2024">
        <v>0.87021312404272788</v>
      </c>
      <c r="C2024" s="17">
        <f t="shared" si="31"/>
        <v>46688</v>
      </c>
      <c r="D2024" s="17"/>
      <c r="J2024" s="2" t="s">
        <v>2077</v>
      </c>
    </row>
    <row r="2025" spans="1:10" x14ac:dyDescent="0.25">
      <c r="A2025" s="18" t="s">
        <v>691</v>
      </c>
      <c r="B2025">
        <v>0.87045529272462263</v>
      </c>
      <c r="C2025" s="17">
        <f t="shared" si="31"/>
        <v>46689</v>
      </c>
      <c r="D2025" s="17"/>
      <c r="J2025" s="2" t="s">
        <v>2078</v>
      </c>
    </row>
    <row r="2026" spans="1:10" x14ac:dyDescent="0.25">
      <c r="A2026" s="18" t="s">
        <v>1296</v>
      </c>
      <c r="B2026">
        <v>0.87146275654664462</v>
      </c>
      <c r="C2026" s="17">
        <f t="shared" si="31"/>
        <v>46690</v>
      </c>
      <c r="D2026" s="17"/>
      <c r="J2026" s="2" t="s">
        <v>2079</v>
      </c>
    </row>
    <row r="2027" spans="1:10" x14ac:dyDescent="0.25">
      <c r="A2027" s="18" t="s">
        <v>1265</v>
      </c>
      <c r="B2027">
        <v>0.87159699384800715</v>
      </c>
      <c r="C2027" s="17">
        <f t="shared" si="31"/>
        <v>46691</v>
      </c>
      <c r="D2027" s="17"/>
      <c r="J2027" s="2" t="s">
        <v>2080</v>
      </c>
    </row>
    <row r="2028" spans="1:10" x14ac:dyDescent="0.25">
      <c r="A2028" s="18" t="s">
        <v>2228</v>
      </c>
      <c r="B2028">
        <v>0.87174492292059891</v>
      </c>
      <c r="C2028" s="17">
        <f t="shared" si="31"/>
        <v>46692</v>
      </c>
      <c r="D2028" s="17"/>
      <c r="J2028" s="2" t="s">
        <v>309</v>
      </c>
    </row>
    <row r="2029" spans="1:10" x14ac:dyDescent="0.25">
      <c r="A2029" s="18" t="s">
        <v>783</v>
      </c>
      <c r="B2029">
        <v>0.87202926894508259</v>
      </c>
      <c r="C2029" s="17">
        <f t="shared" si="31"/>
        <v>46693</v>
      </c>
      <c r="D2029" s="17"/>
      <c r="J2029" s="2" t="s">
        <v>2081</v>
      </c>
    </row>
    <row r="2030" spans="1:10" x14ac:dyDescent="0.25">
      <c r="A2030" s="18" t="s">
        <v>1811</v>
      </c>
      <c r="B2030">
        <v>0.87207400602908103</v>
      </c>
      <c r="C2030" s="17">
        <f t="shared" si="31"/>
        <v>46694</v>
      </c>
      <c r="D2030" s="17"/>
      <c r="J2030" s="2" t="s">
        <v>431</v>
      </c>
    </row>
    <row r="2031" spans="1:10" x14ac:dyDescent="0.25">
      <c r="A2031" s="18" t="s">
        <v>2118</v>
      </c>
      <c r="B2031">
        <v>0.87310506614409422</v>
      </c>
      <c r="C2031" s="17">
        <f t="shared" si="31"/>
        <v>46695</v>
      </c>
      <c r="D2031" s="17"/>
      <c r="J2031" s="2" t="s">
        <v>2082</v>
      </c>
    </row>
    <row r="2032" spans="1:10" x14ac:dyDescent="0.25">
      <c r="A2032" s="18" t="s">
        <v>1928</v>
      </c>
      <c r="B2032">
        <v>0.87317087212360522</v>
      </c>
      <c r="C2032" s="17">
        <f t="shared" si="31"/>
        <v>46696</v>
      </c>
      <c r="D2032" s="17"/>
      <c r="J2032" s="2" t="s">
        <v>2083</v>
      </c>
    </row>
    <row r="2033" spans="1:10" x14ac:dyDescent="0.25">
      <c r="A2033" s="18" t="s">
        <v>295</v>
      </c>
      <c r="B2033">
        <v>0.87352022832734821</v>
      </c>
      <c r="C2033" s="17">
        <f t="shared" si="31"/>
        <v>46697</v>
      </c>
      <c r="D2033" s="17"/>
      <c r="J2033" s="2" t="s">
        <v>2084</v>
      </c>
    </row>
    <row r="2034" spans="1:10" x14ac:dyDescent="0.25">
      <c r="A2034" s="18" t="s">
        <v>2271</v>
      </c>
      <c r="B2034">
        <v>0.87426539078360244</v>
      </c>
      <c r="C2034" s="17">
        <f t="shared" si="31"/>
        <v>46698</v>
      </c>
      <c r="D2034" s="17"/>
      <c r="J2034" s="2" t="s">
        <v>316</v>
      </c>
    </row>
    <row r="2035" spans="1:10" x14ac:dyDescent="0.25">
      <c r="A2035" s="18" t="s">
        <v>1863</v>
      </c>
      <c r="B2035">
        <v>0.87431713081855678</v>
      </c>
      <c r="C2035" s="17">
        <f t="shared" si="31"/>
        <v>46699</v>
      </c>
      <c r="D2035" s="17"/>
      <c r="J2035" s="2" t="s">
        <v>2085</v>
      </c>
    </row>
    <row r="2036" spans="1:10" x14ac:dyDescent="0.25">
      <c r="A2036" s="18" t="s">
        <v>2173</v>
      </c>
      <c r="B2036">
        <v>0.87497890625337826</v>
      </c>
      <c r="C2036" s="17">
        <f t="shared" si="31"/>
        <v>46700</v>
      </c>
      <c r="D2036" s="17"/>
      <c r="J2036" s="2" t="s">
        <v>2086</v>
      </c>
    </row>
    <row r="2037" spans="1:10" x14ac:dyDescent="0.25">
      <c r="A2037" s="18" t="s">
        <v>1808</v>
      </c>
      <c r="B2037">
        <v>0.87531696900594935</v>
      </c>
      <c r="C2037" s="17">
        <f t="shared" si="31"/>
        <v>46701</v>
      </c>
      <c r="D2037" s="17"/>
      <c r="J2037" s="2" t="s">
        <v>2087</v>
      </c>
    </row>
    <row r="2038" spans="1:10" x14ac:dyDescent="0.25">
      <c r="A2038" s="18" t="s">
        <v>1435</v>
      </c>
      <c r="B2038">
        <v>0.87591060965652556</v>
      </c>
      <c r="C2038" s="17">
        <f t="shared" si="31"/>
        <v>46702</v>
      </c>
      <c r="D2038" s="17"/>
      <c r="J2038" s="2" t="s">
        <v>2088</v>
      </c>
    </row>
    <row r="2039" spans="1:10" x14ac:dyDescent="0.25">
      <c r="A2039" s="18" t="s">
        <v>738</v>
      </c>
      <c r="B2039">
        <v>0.87623459182644625</v>
      </c>
      <c r="C2039" s="17">
        <f t="shared" si="31"/>
        <v>46703</v>
      </c>
      <c r="D2039" s="17"/>
      <c r="J2039" s="2" t="s">
        <v>109</v>
      </c>
    </row>
    <row r="2040" spans="1:10" x14ac:dyDescent="0.25">
      <c r="A2040" s="18" t="s">
        <v>774</v>
      </c>
      <c r="B2040">
        <v>0.87643214867109498</v>
      </c>
      <c r="C2040" s="17">
        <f t="shared" si="31"/>
        <v>46704</v>
      </c>
      <c r="D2040" s="17"/>
      <c r="J2040" s="2" t="s">
        <v>2089</v>
      </c>
    </row>
    <row r="2041" spans="1:10" x14ac:dyDescent="0.25">
      <c r="A2041" s="18" t="s">
        <v>1792</v>
      </c>
      <c r="B2041">
        <v>0.87669170604271618</v>
      </c>
      <c r="C2041" s="17">
        <f t="shared" si="31"/>
        <v>46705</v>
      </c>
      <c r="D2041" s="17"/>
      <c r="J2041" s="2" t="s">
        <v>2090</v>
      </c>
    </row>
    <row r="2042" spans="1:10" x14ac:dyDescent="0.25">
      <c r="A2042" s="18" t="s">
        <v>483</v>
      </c>
      <c r="B2042">
        <v>0.87688309504939743</v>
      </c>
      <c r="C2042" s="17">
        <f t="shared" si="31"/>
        <v>46706</v>
      </c>
      <c r="D2042" s="17"/>
      <c r="J2042" s="2" t="s">
        <v>2091</v>
      </c>
    </row>
    <row r="2043" spans="1:10" x14ac:dyDescent="0.25">
      <c r="A2043" s="18" t="s">
        <v>523</v>
      </c>
      <c r="B2043">
        <v>0.87809898370370565</v>
      </c>
      <c r="C2043" s="17">
        <f t="shared" si="31"/>
        <v>46707</v>
      </c>
      <c r="D2043" s="17"/>
      <c r="J2043" s="2" t="s">
        <v>2092</v>
      </c>
    </row>
    <row r="2044" spans="1:10" x14ac:dyDescent="0.25">
      <c r="A2044" s="18" t="s">
        <v>16</v>
      </c>
      <c r="B2044">
        <v>0.87824655001707985</v>
      </c>
      <c r="C2044" s="17">
        <f t="shared" si="31"/>
        <v>46708</v>
      </c>
      <c r="D2044" s="17"/>
      <c r="J2044" s="2" t="s">
        <v>2093</v>
      </c>
    </row>
    <row r="2045" spans="1:10" x14ac:dyDescent="0.25">
      <c r="A2045" s="18" t="s">
        <v>782</v>
      </c>
      <c r="B2045">
        <v>0.87836913804814443</v>
      </c>
      <c r="C2045" s="17">
        <f t="shared" si="31"/>
        <v>46709</v>
      </c>
      <c r="D2045" s="17"/>
      <c r="J2045" s="2" t="s">
        <v>2094</v>
      </c>
    </row>
    <row r="2046" spans="1:10" x14ac:dyDescent="0.25">
      <c r="A2046" s="18" t="s">
        <v>896</v>
      </c>
      <c r="B2046">
        <v>0.87845933003239551</v>
      </c>
      <c r="C2046" s="17">
        <f t="shared" si="31"/>
        <v>46710</v>
      </c>
      <c r="D2046" s="17"/>
      <c r="J2046" s="2" t="s">
        <v>2095</v>
      </c>
    </row>
    <row r="2047" spans="1:10" x14ac:dyDescent="0.25">
      <c r="A2047" s="18" t="s">
        <v>2187</v>
      </c>
      <c r="B2047">
        <v>0.87912112475134307</v>
      </c>
      <c r="C2047" s="17">
        <f t="shared" si="31"/>
        <v>46711</v>
      </c>
      <c r="D2047" s="17"/>
      <c r="J2047" s="2" t="s">
        <v>2096</v>
      </c>
    </row>
    <row r="2048" spans="1:10" x14ac:dyDescent="0.25">
      <c r="A2048" s="18" t="s">
        <v>1864</v>
      </c>
      <c r="B2048">
        <v>0.87982824900438039</v>
      </c>
      <c r="C2048" s="17">
        <f t="shared" si="31"/>
        <v>46712</v>
      </c>
      <c r="D2048" s="17"/>
      <c r="J2048" s="2" t="s">
        <v>2097</v>
      </c>
    </row>
    <row r="2049" spans="1:10" x14ac:dyDescent="0.25">
      <c r="A2049" s="18" t="s">
        <v>2</v>
      </c>
      <c r="B2049">
        <v>0.88063531460337752</v>
      </c>
      <c r="C2049" s="17">
        <f t="shared" si="31"/>
        <v>46713</v>
      </c>
      <c r="D2049" s="17"/>
      <c r="J2049" s="2" t="s">
        <v>2098</v>
      </c>
    </row>
    <row r="2050" spans="1:10" x14ac:dyDescent="0.25">
      <c r="A2050" s="18" t="s">
        <v>1217</v>
      </c>
      <c r="B2050">
        <v>0.88136853871555787</v>
      </c>
      <c r="C2050" s="17">
        <f t="shared" si="31"/>
        <v>46714</v>
      </c>
      <c r="D2050" s="17"/>
      <c r="J2050" s="2" t="s">
        <v>2099</v>
      </c>
    </row>
    <row r="2051" spans="1:10" x14ac:dyDescent="0.25">
      <c r="A2051" s="18" t="s">
        <v>626</v>
      </c>
      <c r="B2051">
        <v>0.88336969991261194</v>
      </c>
      <c r="C2051" s="17">
        <f t="shared" si="31"/>
        <v>46715</v>
      </c>
      <c r="D2051" s="17"/>
      <c r="J2051" s="2" t="s">
        <v>2100</v>
      </c>
    </row>
    <row r="2052" spans="1:10" x14ac:dyDescent="0.25">
      <c r="A2052" s="18" t="s">
        <v>959</v>
      </c>
      <c r="B2052">
        <v>0.8833831837938475</v>
      </c>
      <c r="C2052" s="17">
        <f t="shared" ref="C2052:C2115" si="32">C2051+1</f>
        <v>46716</v>
      </c>
      <c r="D2052" s="17"/>
      <c r="J2052" s="2" t="s">
        <v>2101</v>
      </c>
    </row>
    <row r="2053" spans="1:10" x14ac:dyDescent="0.25">
      <c r="A2053" s="18" t="s">
        <v>1588</v>
      </c>
      <c r="B2053">
        <v>0.88438002189734133</v>
      </c>
      <c r="C2053" s="17">
        <f t="shared" si="32"/>
        <v>46717</v>
      </c>
      <c r="D2053" s="17"/>
      <c r="J2053" s="2" t="s">
        <v>2102</v>
      </c>
    </row>
    <row r="2054" spans="1:10" x14ac:dyDescent="0.25">
      <c r="A2054" s="18" t="s">
        <v>705</v>
      </c>
      <c r="B2054">
        <v>0.88458147282280486</v>
      </c>
      <c r="C2054" s="17">
        <f t="shared" si="32"/>
        <v>46718</v>
      </c>
      <c r="D2054" s="17"/>
      <c r="J2054" s="2" t="s">
        <v>2103</v>
      </c>
    </row>
    <row r="2055" spans="1:10" x14ac:dyDescent="0.25">
      <c r="A2055" s="18" t="s">
        <v>321</v>
      </c>
      <c r="B2055">
        <v>0.88623991410197378</v>
      </c>
      <c r="C2055" s="17">
        <f t="shared" si="32"/>
        <v>46719</v>
      </c>
      <c r="D2055" s="17"/>
      <c r="J2055" s="2" t="s">
        <v>2104</v>
      </c>
    </row>
    <row r="2056" spans="1:10" x14ac:dyDescent="0.25">
      <c r="A2056" s="18" t="s">
        <v>532</v>
      </c>
      <c r="B2056">
        <v>0.88636352583541023</v>
      </c>
      <c r="C2056" s="17">
        <f t="shared" si="32"/>
        <v>46720</v>
      </c>
      <c r="D2056" s="17"/>
      <c r="J2056" s="2" t="s">
        <v>2105</v>
      </c>
    </row>
    <row r="2057" spans="1:10" x14ac:dyDescent="0.25">
      <c r="A2057" s="18" t="s">
        <v>1391</v>
      </c>
      <c r="B2057">
        <v>0.88666361384181969</v>
      </c>
      <c r="C2057" s="17">
        <f t="shared" si="32"/>
        <v>46721</v>
      </c>
      <c r="D2057" s="17"/>
      <c r="J2057" s="2" t="s">
        <v>2106</v>
      </c>
    </row>
    <row r="2058" spans="1:10" x14ac:dyDescent="0.25">
      <c r="A2058" s="18" t="s">
        <v>1450</v>
      </c>
      <c r="B2058">
        <v>0.88668828059413307</v>
      </c>
      <c r="C2058" s="17">
        <f t="shared" si="32"/>
        <v>46722</v>
      </c>
      <c r="D2058" s="17"/>
      <c r="J2058" s="2" t="s">
        <v>374</v>
      </c>
    </row>
    <row r="2059" spans="1:10" x14ac:dyDescent="0.25">
      <c r="A2059" s="18" t="s">
        <v>1412</v>
      </c>
      <c r="B2059">
        <v>0.88689895690522369</v>
      </c>
      <c r="C2059" s="17">
        <f t="shared" si="32"/>
        <v>46723</v>
      </c>
      <c r="D2059" s="17"/>
      <c r="J2059" s="2" t="s">
        <v>2107</v>
      </c>
    </row>
    <row r="2060" spans="1:10" x14ac:dyDescent="0.25">
      <c r="A2060" s="18" t="s">
        <v>1562</v>
      </c>
      <c r="B2060">
        <v>0.88706635301884618</v>
      </c>
      <c r="C2060" s="17">
        <f t="shared" si="32"/>
        <v>46724</v>
      </c>
      <c r="D2060" s="17"/>
      <c r="J2060" s="2" t="s">
        <v>2108</v>
      </c>
    </row>
    <row r="2061" spans="1:10" x14ac:dyDescent="0.25">
      <c r="A2061" s="18" t="s">
        <v>807</v>
      </c>
      <c r="B2061">
        <v>0.88710942433184092</v>
      </c>
      <c r="C2061" s="17">
        <f t="shared" si="32"/>
        <v>46725</v>
      </c>
      <c r="D2061" s="17"/>
      <c r="J2061" s="2" t="s">
        <v>2109</v>
      </c>
    </row>
    <row r="2062" spans="1:10" x14ac:dyDescent="0.25">
      <c r="A2062" s="18" t="s">
        <v>2139</v>
      </c>
      <c r="B2062">
        <v>0.88756383014158846</v>
      </c>
      <c r="C2062" s="17">
        <f t="shared" si="32"/>
        <v>46726</v>
      </c>
      <c r="D2062" s="17"/>
      <c r="J2062" s="2" t="s">
        <v>2110</v>
      </c>
    </row>
    <row r="2063" spans="1:10" x14ac:dyDescent="0.25">
      <c r="A2063" s="18" t="s">
        <v>309</v>
      </c>
      <c r="B2063">
        <v>0.88792587761775443</v>
      </c>
      <c r="C2063" s="17">
        <f t="shared" si="32"/>
        <v>46727</v>
      </c>
      <c r="D2063" s="17"/>
      <c r="J2063" s="2" t="s">
        <v>2111</v>
      </c>
    </row>
    <row r="2064" spans="1:10" x14ac:dyDescent="0.25">
      <c r="A2064" s="18" t="s">
        <v>232</v>
      </c>
      <c r="B2064">
        <v>0.88827880823858618</v>
      </c>
      <c r="C2064" s="17">
        <f t="shared" si="32"/>
        <v>46728</v>
      </c>
      <c r="D2064" s="17"/>
      <c r="J2064" s="2" t="s">
        <v>2112</v>
      </c>
    </row>
    <row r="2065" spans="1:10" x14ac:dyDescent="0.25">
      <c r="A2065" s="18" t="s">
        <v>1046</v>
      </c>
      <c r="B2065">
        <v>0.88888312677589743</v>
      </c>
      <c r="C2065" s="17">
        <f t="shared" si="32"/>
        <v>46729</v>
      </c>
      <c r="D2065" s="17"/>
      <c r="J2065" s="2" t="s">
        <v>2113</v>
      </c>
    </row>
    <row r="2066" spans="1:10" x14ac:dyDescent="0.25">
      <c r="A2066" s="18" t="s">
        <v>2051</v>
      </c>
      <c r="B2066">
        <v>0.88894484697661458</v>
      </c>
      <c r="C2066" s="17">
        <f t="shared" si="32"/>
        <v>46730</v>
      </c>
      <c r="D2066" s="17"/>
      <c r="J2066" s="2" t="s">
        <v>2114</v>
      </c>
    </row>
    <row r="2067" spans="1:10" x14ac:dyDescent="0.25">
      <c r="A2067" s="18" t="s">
        <v>277</v>
      </c>
      <c r="B2067">
        <v>0.88963788904520635</v>
      </c>
      <c r="C2067" s="17">
        <f t="shared" si="32"/>
        <v>46731</v>
      </c>
      <c r="D2067" s="17"/>
      <c r="J2067" s="2" t="s">
        <v>2115</v>
      </c>
    </row>
    <row r="2068" spans="1:10" x14ac:dyDescent="0.25">
      <c r="A2068" s="18" t="s">
        <v>1100</v>
      </c>
      <c r="B2068">
        <v>0.88983510949562639</v>
      </c>
      <c r="C2068" s="17">
        <f t="shared" si="32"/>
        <v>46732</v>
      </c>
      <c r="D2068" s="17"/>
      <c r="J2068" s="2" t="s">
        <v>2116</v>
      </c>
    </row>
    <row r="2069" spans="1:10" x14ac:dyDescent="0.25">
      <c r="A2069" s="18" t="s">
        <v>361</v>
      </c>
      <c r="B2069">
        <v>0.88986346769759761</v>
      </c>
      <c r="C2069" s="17">
        <f t="shared" si="32"/>
        <v>46733</v>
      </c>
      <c r="D2069" s="17"/>
      <c r="J2069" s="2" t="s">
        <v>2117</v>
      </c>
    </row>
    <row r="2070" spans="1:10" x14ac:dyDescent="0.25">
      <c r="A2070" s="18" t="s">
        <v>2179</v>
      </c>
      <c r="B2070">
        <v>0.89076264555843232</v>
      </c>
      <c r="C2070" s="17">
        <f t="shared" si="32"/>
        <v>46734</v>
      </c>
      <c r="D2070" s="17"/>
      <c r="J2070" s="2" t="s">
        <v>2118</v>
      </c>
    </row>
    <row r="2071" spans="1:10" x14ac:dyDescent="0.25">
      <c r="A2071" s="18" t="s">
        <v>805</v>
      </c>
      <c r="B2071">
        <v>0.89143742815618909</v>
      </c>
      <c r="C2071" s="17">
        <f t="shared" si="32"/>
        <v>46735</v>
      </c>
      <c r="D2071" s="17"/>
      <c r="J2071" s="2" t="s">
        <v>2119</v>
      </c>
    </row>
    <row r="2072" spans="1:10" x14ac:dyDescent="0.25">
      <c r="A2072" s="18" t="s">
        <v>1734</v>
      </c>
      <c r="B2072">
        <v>0.89212476238562477</v>
      </c>
      <c r="C2072" s="17">
        <f t="shared" si="32"/>
        <v>46736</v>
      </c>
      <c r="D2072" s="17"/>
      <c r="J2072" s="2" t="s">
        <v>2120</v>
      </c>
    </row>
    <row r="2073" spans="1:10" x14ac:dyDescent="0.25">
      <c r="A2073" s="18" t="s">
        <v>1821</v>
      </c>
      <c r="B2073">
        <v>0.89317427929652649</v>
      </c>
      <c r="C2073" s="17">
        <f t="shared" si="32"/>
        <v>46737</v>
      </c>
      <c r="D2073" s="17"/>
      <c r="J2073" s="2" t="s">
        <v>2121</v>
      </c>
    </row>
    <row r="2074" spans="1:10" x14ac:dyDescent="0.25">
      <c r="A2074" s="18" t="s">
        <v>948</v>
      </c>
      <c r="B2074">
        <v>0.89347379090261847</v>
      </c>
      <c r="C2074" s="17">
        <f t="shared" si="32"/>
        <v>46738</v>
      </c>
      <c r="D2074" s="17"/>
      <c r="J2074" s="2" t="s">
        <v>44</v>
      </c>
    </row>
    <row r="2075" spans="1:10" x14ac:dyDescent="0.25">
      <c r="A2075" s="18" t="s">
        <v>653</v>
      </c>
      <c r="B2075">
        <v>0.89449944496905642</v>
      </c>
      <c r="C2075" s="17">
        <f t="shared" si="32"/>
        <v>46739</v>
      </c>
      <c r="D2075" s="17"/>
      <c r="J2075" s="2" t="s">
        <v>409</v>
      </c>
    </row>
    <row r="2076" spans="1:10" x14ac:dyDescent="0.25">
      <c r="A2076" s="18" t="s">
        <v>1206</v>
      </c>
      <c r="B2076">
        <v>0.89454613001131988</v>
      </c>
      <c r="C2076" s="17">
        <f t="shared" si="32"/>
        <v>46740</v>
      </c>
      <c r="D2076" s="17"/>
      <c r="J2076" s="2" t="s">
        <v>2122</v>
      </c>
    </row>
    <row r="2077" spans="1:10" x14ac:dyDescent="0.25">
      <c r="A2077" s="18" t="s">
        <v>582</v>
      </c>
      <c r="B2077">
        <v>0.89468905206356675</v>
      </c>
      <c r="C2077" s="17">
        <f t="shared" si="32"/>
        <v>46741</v>
      </c>
      <c r="D2077" s="17"/>
      <c r="J2077" s="2" t="s">
        <v>2123</v>
      </c>
    </row>
    <row r="2078" spans="1:10" x14ac:dyDescent="0.25">
      <c r="A2078" s="18" t="s">
        <v>1631</v>
      </c>
      <c r="B2078">
        <v>0.895334717038623</v>
      </c>
      <c r="C2078" s="17">
        <f t="shared" si="32"/>
        <v>46742</v>
      </c>
      <c r="D2078" s="17"/>
      <c r="J2078" s="2" t="s">
        <v>2124</v>
      </c>
    </row>
    <row r="2079" spans="1:10" x14ac:dyDescent="0.25">
      <c r="A2079" s="18" t="s">
        <v>374</v>
      </c>
      <c r="B2079">
        <v>0.8954643103796821</v>
      </c>
      <c r="C2079" s="17">
        <f t="shared" si="32"/>
        <v>46743</v>
      </c>
      <c r="D2079" s="17"/>
      <c r="J2079" s="2" t="s">
        <v>86</v>
      </c>
    </row>
    <row r="2080" spans="1:10" x14ac:dyDescent="0.25">
      <c r="A2080" s="18" t="s">
        <v>1763</v>
      </c>
      <c r="B2080">
        <v>0.89584221229064098</v>
      </c>
      <c r="C2080" s="17">
        <f t="shared" si="32"/>
        <v>46744</v>
      </c>
      <c r="D2080" s="17"/>
      <c r="J2080" s="2" t="s">
        <v>2125</v>
      </c>
    </row>
    <row r="2081" spans="1:10" x14ac:dyDescent="0.25">
      <c r="A2081" s="18" t="s">
        <v>1438</v>
      </c>
      <c r="B2081">
        <v>0.89655901092335233</v>
      </c>
      <c r="C2081" s="17">
        <f t="shared" si="32"/>
        <v>46745</v>
      </c>
      <c r="D2081" s="17"/>
      <c r="J2081" s="2" t="s">
        <v>2126</v>
      </c>
    </row>
    <row r="2082" spans="1:10" x14ac:dyDescent="0.25">
      <c r="A2082" s="18" t="s">
        <v>104</v>
      </c>
      <c r="B2082">
        <v>0.89668328823424592</v>
      </c>
      <c r="C2082" s="17">
        <f t="shared" si="32"/>
        <v>46746</v>
      </c>
      <c r="D2082" s="17"/>
      <c r="J2082" s="2" t="s">
        <v>85</v>
      </c>
    </row>
    <row r="2083" spans="1:10" x14ac:dyDescent="0.25">
      <c r="A2083" s="18" t="s">
        <v>2279</v>
      </c>
      <c r="B2083">
        <v>0.89720322192887503</v>
      </c>
      <c r="C2083" s="17">
        <f t="shared" si="32"/>
        <v>46747</v>
      </c>
      <c r="D2083" s="17"/>
      <c r="J2083" s="2" t="s">
        <v>2127</v>
      </c>
    </row>
    <row r="2084" spans="1:10" x14ac:dyDescent="0.25">
      <c r="A2084" s="18" t="s">
        <v>2112</v>
      </c>
      <c r="B2084">
        <v>0.89740281680925604</v>
      </c>
      <c r="C2084" s="17">
        <f t="shared" si="32"/>
        <v>46748</v>
      </c>
      <c r="D2084" s="17"/>
      <c r="J2084" s="2" t="s">
        <v>2128</v>
      </c>
    </row>
    <row r="2085" spans="1:10" x14ac:dyDescent="0.25">
      <c r="A2085" s="18" t="s">
        <v>1995</v>
      </c>
      <c r="B2085">
        <v>0.89749455354112251</v>
      </c>
      <c r="C2085" s="17">
        <f t="shared" si="32"/>
        <v>46749</v>
      </c>
      <c r="D2085" s="17"/>
      <c r="J2085" s="2" t="s">
        <v>2129</v>
      </c>
    </row>
    <row r="2086" spans="1:10" x14ac:dyDescent="0.25">
      <c r="A2086" s="18" t="s">
        <v>2291</v>
      </c>
      <c r="B2086">
        <v>0.89937060926370127</v>
      </c>
      <c r="C2086" s="17">
        <f t="shared" si="32"/>
        <v>46750</v>
      </c>
      <c r="D2086" s="17"/>
      <c r="J2086" s="2" t="s">
        <v>2130</v>
      </c>
    </row>
    <row r="2087" spans="1:10" x14ac:dyDescent="0.25">
      <c r="A2087" s="18" t="s">
        <v>1486</v>
      </c>
      <c r="B2087">
        <v>0.89958677741609827</v>
      </c>
      <c r="C2087" s="17">
        <f t="shared" si="32"/>
        <v>46751</v>
      </c>
      <c r="D2087" s="17"/>
      <c r="J2087" s="2" t="s">
        <v>2131</v>
      </c>
    </row>
    <row r="2088" spans="1:10" x14ac:dyDescent="0.25">
      <c r="A2088" s="18" t="s">
        <v>842</v>
      </c>
      <c r="B2088">
        <v>0.90036465560136247</v>
      </c>
      <c r="C2088" s="17">
        <f t="shared" si="32"/>
        <v>46752</v>
      </c>
      <c r="D2088" s="17"/>
      <c r="J2088" s="2" t="s">
        <v>2132</v>
      </c>
    </row>
    <row r="2089" spans="1:10" x14ac:dyDescent="0.25">
      <c r="A2089" s="18" t="s">
        <v>17</v>
      </c>
      <c r="B2089">
        <v>0.90060305381458894</v>
      </c>
      <c r="C2089" s="17">
        <f t="shared" si="32"/>
        <v>46753</v>
      </c>
      <c r="D2089" s="17"/>
      <c r="J2089" s="2" t="s">
        <v>2133</v>
      </c>
    </row>
    <row r="2090" spans="1:10" x14ac:dyDescent="0.25">
      <c r="A2090" s="18" t="s">
        <v>315</v>
      </c>
      <c r="B2090">
        <v>0.90094994930769712</v>
      </c>
      <c r="C2090" s="17">
        <f t="shared" si="32"/>
        <v>46754</v>
      </c>
      <c r="D2090" s="17"/>
      <c r="J2090" s="2" t="s">
        <v>2134</v>
      </c>
    </row>
    <row r="2091" spans="1:10" x14ac:dyDescent="0.25">
      <c r="A2091" s="18" t="s">
        <v>1430</v>
      </c>
      <c r="B2091">
        <v>0.90124209131243338</v>
      </c>
      <c r="C2091" s="17">
        <f t="shared" si="32"/>
        <v>46755</v>
      </c>
      <c r="D2091" s="17"/>
      <c r="J2091" s="2" t="s">
        <v>2135</v>
      </c>
    </row>
    <row r="2092" spans="1:10" x14ac:dyDescent="0.25">
      <c r="A2092" s="18" t="s">
        <v>1266</v>
      </c>
      <c r="B2092">
        <v>0.90125018411809688</v>
      </c>
      <c r="C2092" s="17">
        <f t="shared" si="32"/>
        <v>46756</v>
      </c>
      <c r="D2092" s="17"/>
      <c r="J2092" s="2" t="s">
        <v>2136</v>
      </c>
    </row>
    <row r="2093" spans="1:10" x14ac:dyDescent="0.25">
      <c r="A2093" s="18" t="s">
        <v>698</v>
      </c>
      <c r="B2093">
        <v>0.90196706215784039</v>
      </c>
      <c r="C2093" s="17">
        <f t="shared" si="32"/>
        <v>46757</v>
      </c>
      <c r="D2093" s="17"/>
      <c r="J2093" s="2" t="s">
        <v>2137</v>
      </c>
    </row>
    <row r="2094" spans="1:10" x14ac:dyDescent="0.25">
      <c r="A2094" s="18" t="s">
        <v>1016</v>
      </c>
      <c r="B2094">
        <v>0.90196833944705679</v>
      </c>
      <c r="C2094" s="17">
        <f t="shared" si="32"/>
        <v>46758</v>
      </c>
      <c r="D2094" s="17"/>
      <c r="J2094" s="2" t="s">
        <v>2138</v>
      </c>
    </row>
    <row r="2095" spans="1:10" x14ac:dyDescent="0.25">
      <c r="A2095" s="18" t="s">
        <v>1373</v>
      </c>
      <c r="B2095">
        <v>0.9024766491909828</v>
      </c>
      <c r="C2095" s="17">
        <f t="shared" si="32"/>
        <v>46759</v>
      </c>
      <c r="D2095" s="17"/>
      <c r="J2095" s="2" t="s">
        <v>2139</v>
      </c>
    </row>
    <row r="2096" spans="1:10" x14ac:dyDescent="0.25">
      <c r="A2096" s="18" t="s">
        <v>628</v>
      </c>
      <c r="B2096">
        <v>0.90308459631613192</v>
      </c>
      <c r="C2096" s="17">
        <f t="shared" si="32"/>
        <v>46760</v>
      </c>
      <c r="D2096" s="17"/>
      <c r="J2096" s="2" t="s">
        <v>2140</v>
      </c>
    </row>
    <row r="2097" spans="1:10" x14ac:dyDescent="0.25">
      <c r="A2097" s="18" t="s">
        <v>1557</v>
      </c>
      <c r="B2097">
        <v>0.90329751512790968</v>
      </c>
      <c r="C2097" s="17">
        <f t="shared" si="32"/>
        <v>46761</v>
      </c>
      <c r="D2097" s="17"/>
      <c r="J2097" s="2" t="s">
        <v>144</v>
      </c>
    </row>
    <row r="2098" spans="1:10" x14ac:dyDescent="0.25">
      <c r="A2098" s="18" t="s">
        <v>143</v>
      </c>
      <c r="B2098">
        <v>0.90340253190826414</v>
      </c>
      <c r="C2098" s="17">
        <f t="shared" si="32"/>
        <v>46762</v>
      </c>
      <c r="D2098" s="17"/>
      <c r="J2098" s="2" t="s">
        <v>2141</v>
      </c>
    </row>
    <row r="2099" spans="1:10" x14ac:dyDescent="0.25">
      <c r="A2099" s="18" t="s">
        <v>1745</v>
      </c>
      <c r="B2099">
        <v>0.90343568551253617</v>
      </c>
      <c r="C2099" s="17">
        <f t="shared" si="32"/>
        <v>46763</v>
      </c>
      <c r="D2099" s="17"/>
      <c r="J2099" s="2" t="s">
        <v>2142</v>
      </c>
    </row>
    <row r="2100" spans="1:10" x14ac:dyDescent="0.25">
      <c r="A2100" s="18" t="s">
        <v>889</v>
      </c>
      <c r="B2100">
        <v>0.90352906435652569</v>
      </c>
      <c r="C2100" s="17">
        <f t="shared" si="32"/>
        <v>46764</v>
      </c>
      <c r="D2100" s="17"/>
      <c r="J2100" s="2" t="s">
        <v>2143</v>
      </c>
    </row>
    <row r="2101" spans="1:10" x14ac:dyDescent="0.25">
      <c r="A2101" s="18" t="s">
        <v>2172</v>
      </c>
      <c r="B2101">
        <v>0.90380710451602264</v>
      </c>
      <c r="C2101" s="17">
        <f t="shared" si="32"/>
        <v>46765</v>
      </c>
      <c r="D2101" s="17"/>
      <c r="J2101" s="2" t="s">
        <v>429</v>
      </c>
    </row>
    <row r="2102" spans="1:10" x14ac:dyDescent="0.25">
      <c r="A2102" s="18" t="s">
        <v>580</v>
      </c>
      <c r="B2102">
        <v>0.90460824400457995</v>
      </c>
      <c r="C2102" s="17">
        <f t="shared" si="32"/>
        <v>46766</v>
      </c>
      <c r="D2102" s="17"/>
      <c r="J2102" s="2" t="s">
        <v>2144</v>
      </c>
    </row>
    <row r="2103" spans="1:10" x14ac:dyDescent="0.25">
      <c r="A2103" s="18" t="s">
        <v>1859</v>
      </c>
      <c r="B2103">
        <v>0.90672700452754762</v>
      </c>
      <c r="C2103" s="17">
        <f t="shared" si="32"/>
        <v>46767</v>
      </c>
      <c r="D2103" s="17"/>
      <c r="J2103" s="2" t="s">
        <v>443</v>
      </c>
    </row>
    <row r="2104" spans="1:10" x14ac:dyDescent="0.25">
      <c r="A2104" s="18" t="s">
        <v>734</v>
      </c>
      <c r="B2104">
        <v>0.90682965063185506</v>
      </c>
      <c r="C2104" s="17">
        <f t="shared" si="32"/>
        <v>46768</v>
      </c>
      <c r="D2104" s="17"/>
      <c r="J2104" s="2" t="s">
        <v>2145</v>
      </c>
    </row>
    <row r="2105" spans="1:10" x14ac:dyDescent="0.25">
      <c r="A2105" s="18" t="s">
        <v>864</v>
      </c>
      <c r="B2105">
        <v>0.90709855248633053</v>
      </c>
      <c r="C2105" s="17">
        <f t="shared" si="32"/>
        <v>46769</v>
      </c>
      <c r="D2105" s="17"/>
      <c r="J2105" s="2" t="s">
        <v>2146</v>
      </c>
    </row>
    <row r="2106" spans="1:10" x14ac:dyDescent="0.25">
      <c r="A2106" s="18" t="s">
        <v>1880</v>
      </c>
      <c r="B2106">
        <v>0.90746265620406397</v>
      </c>
      <c r="C2106" s="17">
        <f t="shared" si="32"/>
        <v>46770</v>
      </c>
      <c r="D2106" s="17"/>
      <c r="J2106" s="2" t="s">
        <v>161</v>
      </c>
    </row>
    <row r="2107" spans="1:10" x14ac:dyDescent="0.25">
      <c r="A2107" s="18" t="s">
        <v>1476</v>
      </c>
      <c r="B2107">
        <v>0.9079183028047958</v>
      </c>
      <c r="C2107" s="17">
        <f t="shared" si="32"/>
        <v>46771</v>
      </c>
      <c r="D2107" s="17"/>
      <c r="J2107" s="2" t="s">
        <v>2147</v>
      </c>
    </row>
    <row r="2108" spans="1:10" x14ac:dyDescent="0.25">
      <c r="A2108" s="18" t="s">
        <v>943</v>
      </c>
      <c r="B2108">
        <v>0.9082485024410788</v>
      </c>
      <c r="C2108" s="17">
        <f t="shared" si="32"/>
        <v>46772</v>
      </c>
      <c r="D2108" s="17"/>
      <c r="J2108" s="2" t="s">
        <v>2148</v>
      </c>
    </row>
    <row r="2109" spans="1:10" x14ac:dyDescent="0.25">
      <c r="A2109" s="18" t="s">
        <v>171</v>
      </c>
      <c r="B2109">
        <v>0.90846289519854295</v>
      </c>
      <c r="C2109" s="17">
        <f t="shared" si="32"/>
        <v>46773</v>
      </c>
      <c r="D2109" s="17"/>
      <c r="J2109" s="2" t="s">
        <v>2149</v>
      </c>
    </row>
    <row r="2110" spans="1:10" x14ac:dyDescent="0.25">
      <c r="A2110" s="18" t="s">
        <v>1784</v>
      </c>
      <c r="B2110">
        <v>0.90880296583103293</v>
      </c>
      <c r="C2110" s="17">
        <f t="shared" si="32"/>
        <v>46774</v>
      </c>
      <c r="D2110" s="17"/>
      <c r="J2110" s="2" t="s">
        <v>170</v>
      </c>
    </row>
    <row r="2111" spans="1:10" x14ac:dyDescent="0.25">
      <c r="A2111" s="18" t="s">
        <v>924</v>
      </c>
      <c r="B2111">
        <v>0.91023109181646067</v>
      </c>
      <c r="C2111" s="17">
        <f t="shared" si="32"/>
        <v>46775</v>
      </c>
      <c r="D2111" s="17"/>
      <c r="J2111" s="2" t="s">
        <v>2150</v>
      </c>
    </row>
    <row r="2112" spans="1:10" x14ac:dyDescent="0.25">
      <c r="A2112" s="18" t="s">
        <v>290</v>
      </c>
      <c r="B2112">
        <v>0.91115902918563607</v>
      </c>
      <c r="C2112" s="17">
        <f t="shared" si="32"/>
        <v>46776</v>
      </c>
      <c r="D2112" s="17"/>
      <c r="J2112" s="2" t="s">
        <v>2151</v>
      </c>
    </row>
    <row r="2113" spans="1:10" x14ac:dyDescent="0.25">
      <c r="A2113" s="18" t="s">
        <v>1567</v>
      </c>
      <c r="B2113">
        <v>0.91144964385450256</v>
      </c>
      <c r="C2113" s="17">
        <f t="shared" si="32"/>
        <v>46777</v>
      </c>
      <c r="D2113" s="17"/>
      <c r="J2113" s="2" t="s">
        <v>2152</v>
      </c>
    </row>
    <row r="2114" spans="1:10" x14ac:dyDescent="0.25">
      <c r="A2114" s="18" t="s">
        <v>46</v>
      </c>
      <c r="B2114">
        <v>0.9117517584630388</v>
      </c>
      <c r="C2114" s="17">
        <f t="shared" si="32"/>
        <v>46778</v>
      </c>
      <c r="D2114" s="17"/>
      <c r="J2114" s="2" t="s">
        <v>253</v>
      </c>
    </row>
    <row r="2115" spans="1:10" x14ac:dyDescent="0.25">
      <c r="A2115" s="18" t="s">
        <v>182</v>
      </c>
      <c r="B2115">
        <v>0.91324824783012859</v>
      </c>
      <c r="C2115" s="17">
        <f t="shared" si="32"/>
        <v>46779</v>
      </c>
      <c r="D2115" s="17"/>
      <c r="J2115" s="2" t="s">
        <v>68</v>
      </c>
    </row>
    <row r="2116" spans="1:10" x14ac:dyDescent="0.25">
      <c r="A2116" s="18" t="s">
        <v>1082</v>
      </c>
      <c r="B2116">
        <v>0.91325129871924693</v>
      </c>
      <c r="C2116" s="17">
        <f t="shared" ref="C2116:C2179" si="33">C2115+1</f>
        <v>46780</v>
      </c>
      <c r="D2116" s="17"/>
      <c r="J2116" s="2" t="s">
        <v>2153</v>
      </c>
    </row>
    <row r="2117" spans="1:10" x14ac:dyDescent="0.25">
      <c r="A2117" s="18" t="s">
        <v>1632</v>
      </c>
      <c r="B2117">
        <v>0.9135530549089993</v>
      </c>
      <c r="C2117" s="17">
        <f t="shared" si="33"/>
        <v>46781</v>
      </c>
      <c r="D2117" s="17"/>
      <c r="J2117" s="2" t="s">
        <v>2154</v>
      </c>
    </row>
    <row r="2118" spans="1:10" x14ac:dyDescent="0.25">
      <c r="A2118" s="18" t="s">
        <v>1672</v>
      </c>
      <c r="B2118">
        <v>0.91377429478865069</v>
      </c>
      <c r="C2118" s="17">
        <f t="shared" si="33"/>
        <v>46782</v>
      </c>
      <c r="D2118" s="17"/>
      <c r="J2118" s="2" t="s">
        <v>2155</v>
      </c>
    </row>
    <row r="2119" spans="1:10" x14ac:dyDescent="0.25">
      <c r="A2119" s="18" t="s">
        <v>1519</v>
      </c>
      <c r="B2119">
        <v>0.91387296890221736</v>
      </c>
      <c r="C2119" s="17">
        <f t="shared" si="33"/>
        <v>46783</v>
      </c>
      <c r="D2119" s="17"/>
      <c r="J2119" s="2" t="s">
        <v>2156</v>
      </c>
    </row>
    <row r="2120" spans="1:10" x14ac:dyDescent="0.25">
      <c r="A2120" s="18" t="s">
        <v>275</v>
      </c>
      <c r="B2120">
        <v>0.91406636400493591</v>
      </c>
      <c r="C2120" s="17">
        <f t="shared" si="33"/>
        <v>46784</v>
      </c>
      <c r="D2120" s="17"/>
      <c r="J2120" s="2" t="s">
        <v>2157</v>
      </c>
    </row>
    <row r="2121" spans="1:10" x14ac:dyDescent="0.25">
      <c r="A2121" s="18" t="s">
        <v>1253</v>
      </c>
      <c r="B2121">
        <v>0.91545723857671191</v>
      </c>
      <c r="C2121" s="17">
        <f t="shared" si="33"/>
        <v>46785</v>
      </c>
      <c r="D2121" s="17"/>
      <c r="J2121" s="2" t="s">
        <v>2158</v>
      </c>
    </row>
    <row r="2122" spans="1:10" x14ac:dyDescent="0.25">
      <c r="A2122" s="18" t="s">
        <v>1301</v>
      </c>
      <c r="B2122">
        <v>0.91552742006187871</v>
      </c>
      <c r="C2122" s="17">
        <f t="shared" si="33"/>
        <v>46786</v>
      </c>
      <c r="D2122" s="17"/>
      <c r="J2122" s="2" t="s">
        <v>2159</v>
      </c>
    </row>
    <row r="2123" spans="1:10" x14ac:dyDescent="0.25">
      <c r="A2123" s="18" t="s">
        <v>26</v>
      </c>
      <c r="B2123">
        <v>0.9158152618128601</v>
      </c>
      <c r="C2123" s="17">
        <f t="shared" si="33"/>
        <v>46787</v>
      </c>
      <c r="D2123" s="17"/>
      <c r="J2123" s="2" t="s">
        <v>2160</v>
      </c>
    </row>
    <row r="2124" spans="1:10" x14ac:dyDescent="0.25">
      <c r="A2124" s="18" t="s">
        <v>194</v>
      </c>
      <c r="B2124">
        <v>0.91626047687595491</v>
      </c>
      <c r="C2124" s="17">
        <f t="shared" si="33"/>
        <v>46788</v>
      </c>
      <c r="D2124" s="17"/>
      <c r="J2124" s="2" t="s">
        <v>2161</v>
      </c>
    </row>
    <row r="2125" spans="1:10" x14ac:dyDescent="0.25">
      <c r="A2125" s="18" t="s">
        <v>1882</v>
      </c>
      <c r="B2125">
        <v>0.91649865547099352</v>
      </c>
      <c r="C2125" s="17">
        <f t="shared" si="33"/>
        <v>46789</v>
      </c>
      <c r="D2125" s="17"/>
      <c r="J2125" s="2" t="s">
        <v>2162</v>
      </c>
    </row>
    <row r="2126" spans="1:10" x14ac:dyDescent="0.25">
      <c r="A2126" s="18" t="s">
        <v>1490</v>
      </c>
      <c r="B2126">
        <v>0.9167602054436732</v>
      </c>
      <c r="C2126" s="17">
        <f t="shared" si="33"/>
        <v>46790</v>
      </c>
      <c r="D2126" s="17"/>
      <c r="J2126" s="2" t="s">
        <v>2163</v>
      </c>
    </row>
    <row r="2127" spans="1:10" x14ac:dyDescent="0.25">
      <c r="A2127" s="18" t="s">
        <v>2244</v>
      </c>
      <c r="B2127">
        <v>0.91733513697331059</v>
      </c>
      <c r="C2127" s="17">
        <f t="shared" si="33"/>
        <v>46791</v>
      </c>
      <c r="D2127" s="17"/>
      <c r="J2127" s="2" t="s">
        <v>2164</v>
      </c>
    </row>
    <row r="2128" spans="1:10" x14ac:dyDescent="0.25">
      <c r="A2128" s="18" t="s">
        <v>2054</v>
      </c>
      <c r="B2128">
        <v>0.91787536767323241</v>
      </c>
      <c r="C2128" s="17">
        <f t="shared" si="33"/>
        <v>46792</v>
      </c>
      <c r="D2128" s="17"/>
      <c r="J2128" s="2" t="s">
        <v>2165</v>
      </c>
    </row>
    <row r="2129" spans="1:10" x14ac:dyDescent="0.25">
      <c r="A2129" s="18" t="s">
        <v>827</v>
      </c>
      <c r="B2129">
        <v>0.91840146203439599</v>
      </c>
      <c r="C2129" s="17">
        <f t="shared" si="33"/>
        <v>46793</v>
      </c>
      <c r="D2129" s="17"/>
      <c r="J2129" s="2" t="s">
        <v>403</v>
      </c>
    </row>
    <row r="2130" spans="1:10" x14ac:dyDescent="0.25">
      <c r="A2130" s="18" t="s">
        <v>271</v>
      </c>
      <c r="B2130">
        <v>0.91895242433074709</v>
      </c>
      <c r="C2130" s="17">
        <f t="shared" si="33"/>
        <v>46794</v>
      </c>
      <c r="D2130" s="17"/>
      <c r="J2130" s="2" t="s">
        <v>2166</v>
      </c>
    </row>
    <row r="2131" spans="1:10" x14ac:dyDescent="0.25">
      <c r="A2131" s="18" t="s">
        <v>1269</v>
      </c>
      <c r="B2131">
        <v>0.91922164088443525</v>
      </c>
      <c r="C2131" s="17">
        <f t="shared" si="33"/>
        <v>46795</v>
      </c>
      <c r="D2131" s="17"/>
      <c r="J2131" s="2" t="s">
        <v>2167</v>
      </c>
    </row>
    <row r="2132" spans="1:10" x14ac:dyDescent="0.25">
      <c r="A2132" s="18" t="s">
        <v>2314</v>
      </c>
      <c r="B2132">
        <v>0.91931962921581933</v>
      </c>
      <c r="C2132" s="17">
        <f t="shared" si="33"/>
        <v>46796</v>
      </c>
      <c r="D2132" s="17"/>
      <c r="J2132" s="2" t="s">
        <v>2168</v>
      </c>
    </row>
    <row r="2133" spans="1:10" x14ac:dyDescent="0.25">
      <c r="A2133" s="18" t="s">
        <v>1977</v>
      </c>
      <c r="B2133">
        <v>0.91963658043985219</v>
      </c>
      <c r="C2133" s="17">
        <f t="shared" si="33"/>
        <v>46797</v>
      </c>
      <c r="D2133" s="17"/>
      <c r="J2133" s="2" t="s">
        <v>2169</v>
      </c>
    </row>
    <row r="2134" spans="1:10" x14ac:dyDescent="0.25">
      <c r="A2134" s="18" t="s">
        <v>358</v>
      </c>
      <c r="B2134">
        <v>0.91967838060071316</v>
      </c>
      <c r="C2134" s="17">
        <f t="shared" si="33"/>
        <v>46798</v>
      </c>
      <c r="D2134" s="17"/>
      <c r="J2134" s="2" t="s">
        <v>2170</v>
      </c>
    </row>
    <row r="2135" spans="1:10" x14ac:dyDescent="0.25">
      <c r="A2135" s="18" t="s">
        <v>761</v>
      </c>
      <c r="B2135">
        <v>0.91973937379976012</v>
      </c>
      <c r="C2135" s="17">
        <f t="shared" si="33"/>
        <v>46799</v>
      </c>
      <c r="D2135" s="17"/>
      <c r="J2135" s="2" t="s">
        <v>2171</v>
      </c>
    </row>
    <row r="2136" spans="1:10" x14ac:dyDescent="0.25">
      <c r="A2136" s="18" t="s">
        <v>1124</v>
      </c>
      <c r="B2136">
        <v>0.9204253828015847</v>
      </c>
      <c r="C2136" s="17">
        <f t="shared" si="33"/>
        <v>46800</v>
      </c>
      <c r="D2136" s="17"/>
      <c r="J2136" s="2" t="s">
        <v>2172</v>
      </c>
    </row>
    <row r="2137" spans="1:10" x14ac:dyDescent="0.25">
      <c r="A2137" s="18" t="s">
        <v>2198</v>
      </c>
      <c r="B2137">
        <v>0.92096887393845606</v>
      </c>
      <c r="C2137" s="17">
        <f t="shared" si="33"/>
        <v>46801</v>
      </c>
      <c r="D2137" s="17"/>
      <c r="J2137" s="2" t="s">
        <v>214</v>
      </c>
    </row>
    <row r="2138" spans="1:10" x14ac:dyDescent="0.25">
      <c r="A2138" s="18" t="s">
        <v>2154</v>
      </c>
      <c r="B2138">
        <v>0.92099788269352656</v>
      </c>
      <c r="C2138" s="17">
        <f t="shared" si="33"/>
        <v>46802</v>
      </c>
      <c r="D2138" s="17"/>
      <c r="J2138" s="2" t="s">
        <v>339</v>
      </c>
    </row>
    <row r="2139" spans="1:10" x14ac:dyDescent="0.25">
      <c r="A2139" s="18" t="s">
        <v>1593</v>
      </c>
      <c r="B2139">
        <v>0.9217586800758093</v>
      </c>
      <c r="C2139" s="17">
        <f t="shared" si="33"/>
        <v>46803</v>
      </c>
      <c r="D2139" s="17"/>
      <c r="J2139" s="2" t="s">
        <v>2173</v>
      </c>
    </row>
    <row r="2140" spans="1:10" x14ac:dyDescent="0.25">
      <c r="A2140" s="18" t="s">
        <v>1289</v>
      </c>
      <c r="B2140">
        <v>0.92218434122056858</v>
      </c>
      <c r="C2140" s="17">
        <f t="shared" si="33"/>
        <v>46804</v>
      </c>
      <c r="D2140" s="17"/>
      <c r="J2140" s="2" t="s">
        <v>2174</v>
      </c>
    </row>
    <row r="2141" spans="1:10" x14ac:dyDescent="0.25">
      <c r="A2141" s="18" t="s">
        <v>269</v>
      </c>
      <c r="B2141">
        <v>0.9225567597198111</v>
      </c>
      <c r="C2141" s="17">
        <f t="shared" si="33"/>
        <v>46805</v>
      </c>
      <c r="D2141" s="17"/>
      <c r="J2141" s="2" t="s">
        <v>2175</v>
      </c>
    </row>
    <row r="2142" spans="1:10" x14ac:dyDescent="0.25">
      <c r="A2142" s="18" t="s">
        <v>1968</v>
      </c>
      <c r="B2142">
        <v>0.92257117621083662</v>
      </c>
      <c r="C2142" s="17">
        <f t="shared" si="33"/>
        <v>46806</v>
      </c>
      <c r="D2142" s="17"/>
      <c r="J2142" s="2" t="s">
        <v>387</v>
      </c>
    </row>
    <row r="2143" spans="1:10" x14ac:dyDescent="0.25">
      <c r="A2143" s="18" t="s">
        <v>1949</v>
      </c>
      <c r="B2143">
        <v>0.92293127856967527</v>
      </c>
      <c r="C2143" s="17">
        <f t="shared" si="33"/>
        <v>46807</v>
      </c>
      <c r="D2143" s="17"/>
      <c r="J2143" s="2" t="s">
        <v>2176</v>
      </c>
    </row>
    <row r="2144" spans="1:10" x14ac:dyDescent="0.25">
      <c r="A2144" s="18" t="s">
        <v>49</v>
      </c>
      <c r="B2144">
        <v>0.92331801855614482</v>
      </c>
      <c r="C2144" s="17">
        <f t="shared" si="33"/>
        <v>46808</v>
      </c>
      <c r="D2144" s="17"/>
      <c r="J2144" s="2" t="s">
        <v>2177</v>
      </c>
    </row>
    <row r="2145" spans="1:10" x14ac:dyDescent="0.25">
      <c r="A2145" s="18" t="s">
        <v>1009</v>
      </c>
      <c r="B2145">
        <v>0.92370471079235361</v>
      </c>
      <c r="C2145" s="17">
        <f t="shared" si="33"/>
        <v>46809</v>
      </c>
      <c r="D2145" s="17"/>
      <c r="J2145" s="2" t="s">
        <v>2178</v>
      </c>
    </row>
    <row r="2146" spans="1:10" x14ac:dyDescent="0.25">
      <c r="A2146" s="18" t="s">
        <v>1470</v>
      </c>
      <c r="B2146">
        <v>0.92437589301968093</v>
      </c>
      <c r="C2146" s="17">
        <f t="shared" si="33"/>
        <v>46810</v>
      </c>
      <c r="D2146" s="17"/>
      <c r="J2146" s="2" t="s">
        <v>2179</v>
      </c>
    </row>
    <row r="2147" spans="1:10" x14ac:dyDescent="0.25">
      <c r="A2147" s="18" t="s">
        <v>1297</v>
      </c>
      <c r="B2147">
        <v>0.92529606113784246</v>
      </c>
      <c r="C2147" s="17">
        <f t="shared" si="33"/>
        <v>46811</v>
      </c>
      <c r="D2147" s="17"/>
      <c r="J2147" s="2" t="s">
        <v>2180</v>
      </c>
    </row>
    <row r="2148" spans="1:10" x14ac:dyDescent="0.25">
      <c r="A2148" s="18" t="s">
        <v>681</v>
      </c>
      <c r="B2148">
        <v>0.92587946992873438</v>
      </c>
      <c r="C2148" s="17">
        <f t="shared" si="33"/>
        <v>46812</v>
      </c>
      <c r="D2148" s="17"/>
      <c r="J2148" s="2" t="s">
        <v>2181</v>
      </c>
    </row>
    <row r="2149" spans="1:10" x14ac:dyDescent="0.25">
      <c r="A2149" s="18" t="s">
        <v>1431</v>
      </c>
      <c r="B2149">
        <v>0.92588209933011978</v>
      </c>
      <c r="C2149" s="17">
        <f t="shared" si="33"/>
        <v>46813</v>
      </c>
      <c r="D2149" s="17"/>
      <c r="J2149" s="2" t="s">
        <v>436</v>
      </c>
    </row>
    <row r="2150" spans="1:10" x14ac:dyDescent="0.25">
      <c r="A2150" s="18" t="s">
        <v>250</v>
      </c>
      <c r="B2150">
        <v>0.92627028399355305</v>
      </c>
      <c r="C2150" s="17">
        <f t="shared" si="33"/>
        <v>46814</v>
      </c>
      <c r="D2150" s="17"/>
      <c r="J2150" s="2" t="s">
        <v>2182</v>
      </c>
    </row>
    <row r="2151" spans="1:10" x14ac:dyDescent="0.25">
      <c r="A2151" s="18" t="s">
        <v>326</v>
      </c>
      <c r="B2151">
        <v>0.92646528346674939</v>
      </c>
      <c r="C2151" s="17">
        <f t="shared" si="33"/>
        <v>46815</v>
      </c>
      <c r="D2151" s="17"/>
      <c r="J2151" s="2" t="s">
        <v>2183</v>
      </c>
    </row>
    <row r="2152" spans="1:10" x14ac:dyDescent="0.25">
      <c r="A2152" s="18" t="s">
        <v>2030</v>
      </c>
      <c r="B2152">
        <v>0.92693140270991925</v>
      </c>
      <c r="C2152" s="17">
        <f t="shared" si="33"/>
        <v>46816</v>
      </c>
      <c r="D2152" s="17"/>
      <c r="J2152" s="2" t="s">
        <v>194</v>
      </c>
    </row>
    <row r="2153" spans="1:10" x14ac:dyDescent="0.25">
      <c r="A2153" s="18" t="s">
        <v>9</v>
      </c>
      <c r="B2153">
        <v>0.92753272850339941</v>
      </c>
      <c r="C2153" s="17">
        <f t="shared" si="33"/>
        <v>46817</v>
      </c>
      <c r="D2153" s="17"/>
      <c r="J2153" s="2" t="s">
        <v>2184</v>
      </c>
    </row>
    <row r="2154" spans="1:10" x14ac:dyDescent="0.25">
      <c r="A2154" s="18" t="s">
        <v>1226</v>
      </c>
      <c r="B2154">
        <v>0.9276347286619514</v>
      </c>
      <c r="C2154" s="17">
        <f t="shared" si="33"/>
        <v>46818</v>
      </c>
      <c r="D2154" s="17"/>
      <c r="J2154" s="2" t="s">
        <v>2185</v>
      </c>
    </row>
    <row r="2155" spans="1:10" x14ac:dyDescent="0.25">
      <c r="A2155" s="18" t="s">
        <v>1800</v>
      </c>
      <c r="B2155">
        <v>0.92863889370542563</v>
      </c>
      <c r="C2155" s="17">
        <f t="shared" si="33"/>
        <v>46819</v>
      </c>
      <c r="D2155" s="17"/>
      <c r="J2155" s="2" t="s">
        <v>134</v>
      </c>
    </row>
    <row r="2156" spans="1:10" x14ac:dyDescent="0.25">
      <c r="A2156" s="18" t="s">
        <v>1115</v>
      </c>
      <c r="B2156">
        <v>0.92910433460384678</v>
      </c>
      <c r="C2156" s="17">
        <f t="shared" si="33"/>
        <v>46820</v>
      </c>
      <c r="D2156" s="17"/>
      <c r="J2156" s="2" t="s">
        <v>432</v>
      </c>
    </row>
    <row r="2157" spans="1:10" x14ac:dyDescent="0.25">
      <c r="A2157" s="18" t="s">
        <v>928</v>
      </c>
      <c r="B2157">
        <v>0.92917144595796408</v>
      </c>
      <c r="C2157" s="17">
        <f t="shared" si="33"/>
        <v>46821</v>
      </c>
      <c r="D2157" s="17"/>
      <c r="J2157" s="2" t="s">
        <v>2186</v>
      </c>
    </row>
    <row r="2158" spans="1:10" x14ac:dyDescent="0.25">
      <c r="A2158" s="18" t="s">
        <v>23</v>
      </c>
      <c r="B2158">
        <v>0.92931558418321802</v>
      </c>
      <c r="C2158" s="17">
        <f t="shared" si="33"/>
        <v>46822</v>
      </c>
      <c r="D2158" s="17"/>
      <c r="J2158" s="2" t="s">
        <v>2187</v>
      </c>
    </row>
    <row r="2159" spans="1:10" x14ac:dyDescent="0.25">
      <c r="A2159" s="18" t="s">
        <v>394</v>
      </c>
      <c r="B2159">
        <v>0.92948362485574809</v>
      </c>
      <c r="C2159" s="17">
        <f t="shared" si="33"/>
        <v>46823</v>
      </c>
      <c r="D2159" s="17"/>
      <c r="J2159" s="2" t="s">
        <v>2188</v>
      </c>
    </row>
    <row r="2160" spans="1:10" x14ac:dyDescent="0.25">
      <c r="A2160" s="18" t="s">
        <v>2265</v>
      </c>
      <c r="B2160">
        <v>0.93008278370809494</v>
      </c>
      <c r="C2160" s="17">
        <f t="shared" si="33"/>
        <v>46824</v>
      </c>
      <c r="D2160" s="17"/>
      <c r="J2160" s="2" t="s">
        <v>2189</v>
      </c>
    </row>
    <row r="2161" spans="1:10" x14ac:dyDescent="0.25">
      <c r="A2161" s="18" t="s">
        <v>781</v>
      </c>
      <c r="B2161">
        <v>0.93022981902340218</v>
      </c>
      <c r="C2161" s="17">
        <f t="shared" si="33"/>
        <v>46825</v>
      </c>
      <c r="D2161" s="17"/>
      <c r="J2161" s="2" t="s">
        <v>2190</v>
      </c>
    </row>
    <row r="2162" spans="1:10" x14ac:dyDescent="0.25">
      <c r="A2162" s="18" t="s">
        <v>754</v>
      </c>
      <c r="B2162">
        <v>0.93094797132920115</v>
      </c>
      <c r="C2162" s="17">
        <f t="shared" si="33"/>
        <v>46826</v>
      </c>
      <c r="D2162" s="17"/>
      <c r="J2162" s="2" t="s">
        <v>2191</v>
      </c>
    </row>
    <row r="2163" spans="1:10" x14ac:dyDescent="0.25">
      <c r="A2163" s="18" t="s">
        <v>1491</v>
      </c>
      <c r="B2163">
        <v>0.93134908404722372</v>
      </c>
      <c r="C2163" s="17">
        <f t="shared" si="33"/>
        <v>46827</v>
      </c>
      <c r="D2163" s="17"/>
      <c r="J2163" s="2" t="s">
        <v>2192</v>
      </c>
    </row>
    <row r="2164" spans="1:10" x14ac:dyDescent="0.25">
      <c r="A2164" s="18" t="s">
        <v>30</v>
      </c>
      <c r="B2164">
        <v>0.93140126774207677</v>
      </c>
      <c r="C2164" s="17">
        <f t="shared" si="33"/>
        <v>46828</v>
      </c>
      <c r="D2164" s="17"/>
      <c r="J2164" s="2" t="s">
        <v>2193</v>
      </c>
    </row>
    <row r="2165" spans="1:10" x14ac:dyDescent="0.25">
      <c r="A2165" s="18" t="s">
        <v>1496</v>
      </c>
      <c r="B2165">
        <v>0.93168882215228588</v>
      </c>
      <c r="C2165" s="17">
        <f t="shared" si="33"/>
        <v>46829</v>
      </c>
      <c r="D2165" s="17"/>
      <c r="J2165" s="2" t="s">
        <v>2194</v>
      </c>
    </row>
    <row r="2166" spans="1:10" x14ac:dyDescent="0.25">
      <c r="A2166" s="18" t="s">
        <v>519</v>
      </c>
      <c r="B2166">
        <v>0.93178249772864541</v>
      </c>
      <c r="C2166" s="17">
        <f t="shared" si="33"/>
        <v>46830</v>
      </c>
      <c r="D2166" s="17"/>
      <c r="J2166" s="2" t="s">
        <v>2195</v>
      </c>
    </row>
    <row r="2167" spans="1:10" x14ac:dyDescent="0.25">
      <c r="A2167" s="18" t="s">
        <v>891</v>
      </c>
      <c r="B2167">
        <v>0.932301544898403</v>
      </c>
      <c r="C2167" s="17">
        <f t="shared" si="33"/>
        <v>46831</v>
      </c>
      <c r="D2167" s="17"/>
      <c r="J2167" s="2" t="s">
        <v>95</v>
      </c>
    </row>
    <row r="2168" spans="1:10" x14ac:dyDescent="0.25">
      <c r="A2168" s="18" t="s">
        <v>1208</v>
      </c>
      <c r="B2168">
        <v>0.933655254300233</v>
      </c>
      <c r="C2168" s="17">
        <f t="shared" si="33"/>
        <v>46832</v>
      </c>
      <c r="D2168" s="17"/>
      <c r="J2168" s="2" t="s">
        <v>2196</v>
      </c>
    </row>
    <row r="2169" spans="1:10" x14ac:dyDescent="0.25">
      <c r="A2169" s="18" t="s">
        <v>2278</v>
      </c>
      <c r="B2169">
        <v>0.93452825581618537</v>
      </c>
      <c r="C2169" s="17">
        <f t="shared" si="33"/>
        <v>46833</v>
      </c>
      <c r="D2169" s="17"/>
      <c r="J2169" s="2" t="s">
        <v>2197</v>
      </c>
    </row>
    <row r="2170" spans="1:10" x14ac:dyDescent="0.25">
      <c r="A2170" s="18" t="s">
        <v>1716</v>
      </c>
      <c r="B2170">
        <v>0.93547028525292109</v>
      </c>
      <c r="C2170" s="17">
        <f t="shared" si="33"/>
        <v>46834</v>
      </c>
      <c r="D2170" s="17"/>
      <c r="J2170" s="2" t="s">
        <v>2198</v>
      </c>
    </row>
    <row r="2171" spans="1:10" x14ac:dyDescent="0.25">
      <c r="A2171" s="18" t="s">
        <v>2004</v>
      </c>
      <c r="B2171">
        <v>0.93588321446660205</v>
      </c>
      <c r="C2171" s="17">
        <f t="shared" si="33"/>
        <v>46835</v>
      </c>
      <c r="D2171" s="17"/>
      <c r="J2171" s="2" t="s">
        <v>61</v>
      </c>
    </row>
    <row r="2172" spans="1:10" x14ac:dyDescent="0.25">
      <c r="A2172" s="18" t="s">
        <v>545</v>
      </c>
      <c r="B2172">
        <v>0.93605338034935159</v>
      </c>
      <c r="C2172" s="17">
        <f t="shared" si="33"/>
        <v>46836</v>
      </c>
      <c r="D2172" s="17"/>
      <c r="J2172" s="2" t="s">
        <v>2199</v>
      </c>
    </row>
    <row r="2173" spans="1:10" x14ac:dyDescent="0.25">
      <c r="A2173" s="18" t="s">
        <v>1419</v>
      </c>
      <c r="B2173">
        <v>0.93664299178666732</v>
      </c>
      <c r="C2173" s="17">
        <f t="shared" si="33"/>
        <v>46837</v>
      </c>
      <c r="D2173" s="17"/>
      <c r="J2173" s="2" t="s">
        <v>2200</v>
      </c>
    </row>
    <row r="2174" spans="1:10" x14ac:dyDescent="0.25">
      <c r="A2174" s="18" t="s">
        <v>389</v>
      </c>
      <c r="B2174">
        <v>0.93672942629123856</v>
      </c>
      <c r="C2174" s="17">
        <f t="shared" si="33"/>
        <v>46838</v>
      </c>
      <c r="D2174" s="17"/>
      <c r="J2174" s="2" t="s">
        <v>2201</v>
      </c>
    </row>
    <row r="2175" spans="1:10" x14ac:dyDescent="0.25">
      <c r="A2175" s="18" t="s">
        <v>603</v>
      </c>
      <c r="B2175">
        <v>0.93719952412965357</v>
      </c>
      <c r="C2175" s="17">
        <f t="shared" si="33"/>
        <v>46839</v>
      </c>
      <c r="D2175" s="17"/>
      <c r="J2175" s="2" t="s">
        <v>232</v>
      </c>
    </row>
    <row r="2176" spans="1:10" x14ac:dyDescent="0.25">
      <c r="A2176" s="18" t="s">
        <v>2212</v>
      </c>
      <c r="B2176">
        <v>0.9375709723942548</v>
      </c>
      <c r="C2176" s="17">
        <f t="shared" si="33"/>
        <v>46840</v>
      </c>
      <c r="D2176" s="17"/>
      <c r="J2176" s="2" t="s">
        <v>2202</v>
      </c>
    </row>
    <row r="2177" spans="1:10" x14ac:dyDescent="0.25">
      <c r="A2177" s="18" t="s">
        <v>2276</v>
      </c>
      <c r="B2177">
        <v>0.93763110141287997</v>
      </c>
      <c r="C2177" s="17">
        <f t="shared" si="33"/>
        <v>46841</v>
      </c>
      <c r="D2177" s="17"/>
      <c r="J2177" s="2" t="s">
        <v>2203</v>
      </c>
    </row>
    <row r="2178" spans="1:10" x14ac:dyDescent="0.25">
      <c r="A2178" s="18" t="s">
        <v>2101</v>
      </c>
      <c r="B2178">
        <v>0.93821635530047487</v>
      </c>
      <c r="C2178" s="17">
        <f t="shared" si="33"/>
        <v>46842</v>
      </c>
      <c r="D2178" s="17"/>
      <c r="J2178" s="2" t="s">
        <v>2204</v>
      </c>
    </row>
    <row r="2179" spans="1:10" x14ac:dyDescent="0.25">
      <c r="A2179" s="18" t="s">
        <v>187</v>
      </c>
      <c r="B2179">
        <v>0.93964520384772721</v>
      </c>
      <c r="C2179" s="17">
        <f t="shared" si="33"/>
        <v>46843</v>
      </c>
      <c r="D2179" s="17"/>
      <c r="J2179" s="2" t="s">
        <v>318</v>
      </c>
    </row>
    <row r="2180" spans="1:10" x14ac:dyDescent="0.25">
      <c r="A2180" s="18" t="s">
        <v>726</v>
      </c>
      <c r="B2180">
        <v>0.93993344541322921</v>
      </c>
      <c r="C2180" s="17">
        <f t="shared" ref="C2180:C2243" si="34">C2179+1</f>
        <v>46844</v>
      </c>
      <c r="D2180" s="17"/>
      <c r="J2180" s="2" t="s">
        <v>2205</v>
      </c>
    </row>
    <row r="2181" spans="1:10" x14ac:dyDescent="0.25">
      <c r="A2181" s="18" t="s">
        <v>1138</v>
      </c>
      <c r="B2181">
        <v>0.9401073475423033</v>
      </c>
      <c r="C2181" s="17">
        <f t="shared" si="34"/>
        <v>46845</v>
      </c>
      <c r="D2181" s="17"/>
      <c r="J2181" s="2" t="s">
        <v>2206</v>
      </c>
    </row>
    <row r="2182" spans="1:10" x14ac:dyDescent="0.25">
      <c r="A2182" s="18" t="s">
        <v>1375</v>
      </c>
      <c r="B2182">
        <v>0.94070881821626673</v>
      </c>
      <c r="C2182" s="17">
        <f t="shared" si="34"/>
        <v>46846</v>
      </c>
      <c r="D2182" s="17"/>
      <c r="J2182" s="2" t="s">
        <v>2207</v>
      </c>
    </row>
    <row r="2183" spans="1:10" x14ac:dyDescent="0.25">
      <c r="A2183" s="18" t="s">
        <v>1761</v>
      </c>
      <c r="B2183">
        <v>0.94082549033724772</v>
      </c>
      <c r="C2183" s="17">
        <f t="shared" si="34"/>
        <v>46847</v>
      </c>
      <c r="D2183" s="17"/>
      <c r="J2183" s="2" t="s">
        <v>459</v>
      </c>
    </row>
    <row r="2184" spans="1:10" x14ac:dyDescent="0.25">
      <c r="A2184" s="18" t="s">
        <v>1386</v>
      </c>
      <c r="B2184">
        <v>0.94128011038727444</v>
      </c>
      <c r="C2184" s="17">
        <f t="shared" si="34"/>
        <v>46848</v>
      </c>
      <c r="D2184" s="17"/>
      <c r="J2184" s="2" t="s">
        <v>2208</v>
      </c>
    </row>
    <row r="2185" spans="1:10" x14ac:dyDescent="0.25">
      <c r="A2185" s="18" t="s">
        <v>1680</v>
      </c>
      <c r="B2185">
        <v>0.94242681694497443</v>
      </c>
      <c r="C2185" s="17">
        <f t="shared" si="34"/>
        <v>46849</v>
      </c>
      <c r="D2185" s="17"/>
      <c r="J2185" s="2" t="s">
        <v>2209</v>
      </c>
    </row>
    <row r="2186" spans="1:10" x14ac:dyDescent="0.25">
      <c r="A2186" s="18" t="s">
        <v>229</v>
      </c>
      <c r="B2186">
        <v>0.94249917045388354</v>
      </c>
      <c r="C2186" s="17">
        <f t="shared" si="34"/>
        <v>46850</v>
      </c>
      <c r="D2186" s="17"/>
      <c r="J2186" s="2" t="s">
        <v>2210</v>
      </c>
    </row>
    <row r="2187" spans="1:10" x14ac:dyDescent="0.25">
      <c r="A2187" s="18" t="s">
        <v>1061</v>
      </c>
      <c r="B2187">
        <v>0.94323942563767549</v>
      </c>
      <c r="C2187" s="17">
        <f t="shared" si="34"/>
        <v>46851</v>
      </c>
      <c r="D2187" s="17"/>
      <c r="J2187" s="2" t="s">
        <v>2211</v>
      </c>
    </row>
    <row r="2188" spans="1:10" x14ac:dyDescent="0.25">
      <c r="A2188" s="18" t="s">
        <v>2047</v>
      </c>
      <c r="B2188">
        <v>0.94377646038821128</v>
      </c>
      <c r="C2188" s="17">
        <f t="shared" si="34"/>
        <v>46852</v>
      </c>
      <c r="D2188" s="17"/>
      <c r="J2188" s="2" t="s">
        <v>2212</v>
      </c>
    </row>
    <row r="2189" spans="1:10" x14ac:dyDescent="0.25">
      <c r="A2189" s="18" t="s">
        <v>610</v>
      </c>
      <c r="B2189">
        <v>0.94393789312182996</v>
      </c>
      <c r="C2189" s="17">
        <f t="shared" si="34"/>
        <v>46853</v>
      </c>
      <c r="D2189" s="17"/>
      <c r="J2189" s="2" t="s">
        <v>2213</v>
      </c>
    </row>
    <row r="2190" spans="1:10" x14ac:dyDescent="0.25">
      <c r="A2190" s="18" t="s">
        <v>345</v>
      </c>
      <c r="B2190">
        <v>0.9441471901986167</v>
      </c>
      <c r="C2190" s="17">
        <f t="shared" si="34"/>
        <v>46854</v>
      </c>
      <c r="D2190" s="17"/>
      <c r="J2190" s="2" t="s">
        <v>300</v>
      </c>
    </row>
    <row r="2191" spans="1:10" x14ac:dyDescent="0.25">
      <c r="A2191" s="18" t="s">
        <v>1775</v>
      </c>
      <c r="B2191">
        <v>0.94471695853702986</v>
      </c>
      <c r="C2191" s="17">
        <f t="shared" si="34"/>
        <v>46855</v>
      </c>
      <c r="D2191" s="17"/>
      <c r="J2191" s="2" t="s">
        <v>2214</v>
      </c>
    </row>
    <row r="2192" spans="1:10" x14ac:dyDescent="0.25">
      <c r="A2192" s="18" t="s">
        <v>1198</v>
      </c>
      <c r="B2192">
        <v>0.94521640977657972</v>
      </c>
      <c r="C2192" s="17">
        <f t="shared" si="34"/>
        <v>46856</v>
      </c>
      <c r="D2192" s="17"/>
      <c r="J2192" s="2" t="s">
        <v>20</v>
      </c>
    </row>
    <row r="2193" spans="1:10" x14ac:dyDescent="0.25">
      <c r="A2193" s="18" t="s">
        <v>1587</v>
      </c>
      <c r="B2193">
        <v>0.94527959617783464</v>
      </c>
      <c r="C2193" s="17">
        <f t="shared" si="34"/>
        <v>46857</v>
      </c>
      <c r="D2193" s="17"/>
      <c r="J2193" s="2" t="s">
        <v>117</v>
      </c>
    </row>
    <row r="2194" spans="1:10" x14ac:dyDescent="0.25">
      <c r="A2194" s="18" t="s">
        <v>1930</v>
      </c>
      <c r="B2194">
        <v>0.94574535110610503</v>
      </c>
      <c r="C2194" s="17">
        <f t="shared" si="34"/>
        <v>46858</v>
      </c>
      <c r="D2194" s="17"/>
      <c r="J2194" s="2" t="s">
        <v>2215</v>
      </c>
    </row>
    <row r="2195" spans="1:10" x14ac:dyDescent="0.25">
      <c r="A2195" s="18" t="s">
        <v>623</v>
      </c>
      <c r="B2195">
        <v>0.94576942999047897</v>
      </c>
      <c r="C2195" s="17">
        <f t="shared" si="34"/>
        <v>46859</v>
      </c>
      <c r="D2195" s="17"/>
      <c r="J2195" s="2" t="s">
        <v>2216</v>
      </c>
    </row>
    <row r="2196" spans="1:10" x14ac:dyDescent="0.25">
      <c r="A2196" s="18" t="s">
        <v>2269</v>
      </c>
      <c r="B2196">
        <v>0.94620329555558846</v>
      </c>
      <c r="C2196" s="17">
        <f t="shared" si="34"/>
        <v>46860</v>
      </c>
      <c r="D2196" s="17"/>
      <c r="J2196" s="2" t="s">
        <v>244</v>
      </c>
    </row>
    <row r="2197" spans="1:10" x14ac:dyDescent="0.25">
      <c r="A2197" s="18" t="s">
        <v>1053</v>
      </c>
      <c r="B2197">
        <v>0.94652971830097465</v>
      </c>
      <c r="C2197" s="17">
        <f t="shared" si="34"/>
        <v>46861</v>
      </c>
      <c r="D2197" s="17"/>
      <c r="J2197" s="2" t="s">
        <v>386</v>
      </c>
    </row>
    <row r="2198" spans="1:10" x14ac:dyDescent="0.25">
      <c r="A2198" s="18" t="s">
        <v>1018</v>
      </c>
      <c r="B2198">
        <v>0.94666614523344206</v>
      </c>
      <c r="C2198" s="17">
        <f t="shared" si="34"/>
        <v>46862</v>
      </c>
      <c r="D2198" s="17"/>
      <c r="J2198" s="2" t="s">
        <v>2217</v>
      </c>
    </row>
    <row r="2199" spans="1:10" x14ac:dyDescent="0.25">
      <c r="A2199" s="18" t="s">
        <v>686</v>
      </c>
      <c r="B2199">
        <v>0.94682044878612148</v>
      </c>
      <c r="C2199" s="17">
        <f t="shared" si="34"/>
        <v>46863</v>
      </c>
      <c r="D2199" s="17"/>
      <c r="J2199" s="2" t="s">
        <v>2218</v>
      </c>
    </row>
    <row r="2200" spans="1:10" x14ac:dyDescent="0.25">
      <c r="A2200" s="18" t="s">
        <v>406</v>
      </c>
      <c r="B2200">
        <v>0.9469169864036987</v>
      </c>
      <c r="C2200" s="17">
        <f t="shared" si="34"/>
        <v>46864</v>
      </c>
      <c r="D2200" s="17"/>
      <c r="J2200" s="2" t="s">
        <v>2219</v>
      </c>
    </row>
    <row r="2201" spans="1:10" x14ac:dyDescent="0.25">
      <c r="A2201" s="18" t="s">
        <v>125</v>
      </c>
      <c r="B2201">
        <v>0.94723286606295043</v>
      </c>
      <c r="C2201" s="17">
        <f t="shared" si="34"/>
        <v>46865</v>
      </c>
      <c r="D2201" s="17"/>
      <c r="J2201" s="2" t="s">
        <v>2220</v>
      </c>
    </row>
    <row r="2202" spans="1:10" x14ac:dyDescent="0.25">
      <c r="A2202" s="18" t="s">
        <v>114</v>
      </c>
      <c r="B2202">
        <v>0.94771245761973932</v>
      </c>
      <c r="C2202" s="17">
        <f t="shared" si="34"/>
        <v>46866</v>
      </c>
      <c r="D2202" s="17"/>
      <c r="J2202" s="2" t="s">
        <v>2221</v>
      </c>
    </row>
    <row r="2203" spans="1:10" x14ac:dyDescent="0.25">
      <c r="A2203" s="18" t="s">
        <v>1721</v>
      </c>
      <c r="B2203">
        <v>0.94774305494898414</v>
      </c>
      <c r="C2203" s="17">
        <f t="shared" si="34"/>
        <v>46867</v>
      </c>
      <c r="D2203" s="17"/>
      <c r="J2203" s="2" t="s">
        <v>2222</v>
      </c>
    </row>
    <row r="2204" spans="1:10" x14ac:dyDescent="0.25">
      <c r="A2204" s="18" t="s">
        <v>1538</v>
      </c>
      <c r="B2204">
        <v>0.9479713709709765</v>
      </c>
      <c r="C2204" s="17">
        <f t="shared" si="34"/>
        <v>46868</v>
      </c>
      <c r="D2204" s="17"/>
      <c r="J2204" s="2" t="s">
        <v>2223</v>
      </c>
    </row>
    <row r="2205" spans="1:10" x14ac:dyDescent="0.25">
      <c r="A2205" s="18" t="s">
        <v>276</v>
      </c>
      <c r="B2205">
        <v>0.94808873499588298</v>
      </c>
      <c r="C2205" s="17">
        <f t="shared" si="34"/>
        <v>46869</v>
      </c>
      <c r="D2205" s="17"/>
      <c r="J2205" s="2" t="s">
        <v>2224</v>
      </c>
    </row>
    <row r="2206" spans="1:10" x14ac:dyDescent="0.25">
      <c r="A2206" s="18" t="s">
        <v>1481</v>
      </c>
      <c r="B2206">
        <v>0.94834962145713642</v>
      </c>
      <c r="C2206" s="17">
        <f t="shared" si="34"/>
        <v>46870</v>
      </c>
      <c r="D2206" s="17"/>
      <c r="J2206" s="2" t="s">
        <v>2225</v>
      </c>
    </row>
    <row r="2207" spans="1:10" x14ac:dyDescent="0.25">
      <c r="A2207" s="18" t="s">
        <v>2091</v>
      </c>
      <c r="B2207">
        <v>0.94841059935703376</v>
      </c>
      <c r="C2207" s="17">
        <f t="shared" si="34"/>
        <v>46871</v>
      </c>
      <c r="D2207" s="17"/>
      <c r="J2207" s="2" t="s">
        <v>182</v>
      </c>
    </row>
    <row r="2208" spans="1:10" x14ac:dyDescent="0.25">
      <c r="A2208" s="18" t="s">
        <v>1530</v>
      </c>
      <c r="B2208">
        <v>0.94874022557335058</v>
      </c>
      <c r="C2208" s="17">
        <f t="shared" si="34"/>
        <v>46872</v>
      </c>
      <c r="D2208" s="17"/>
      <c r="J2208" s="2" t="s">
        <v>247</v>
      </c>
    </row>
    <row r="2209" spans="1:10" x14ac:dyDescent="0.25">
      <c r="A2209" s="18" t="s">
        <v>1243</v>
      </c>
      <c r="B2209">
        <v>0.94905770010246804</v>
      </c>
      <c r="C2209" s="17">
        <f t="shared" si="34"/>
        <v>46873</v>
      </c>
      <c r="D2209" s="17"/>
      <c r="J2209" s="2" t="s">
        <v>2226</v>
      </c>
    </row>
    <row r="2210" spans="1:10" x14ac:dyDescent="0.25">
      <c r="A2210" s="18" t="s">
        <v>2025</v>
      </c>
      <c r="B2210">
        <v>0.94907015075132772</v>
      </c>
      <c r="C2210" s="17">
        <f t="shared" si="34"/>
        <v>46874</v>
      </c>
      <c r="D2210" s="17"/>
      <c r="J2210" s="2" t="s">
        <v>2227</v>
      </c>
    </row>
    <row r="2211" spans="1:10" x14ac:dyDescent="0.25">
      <c r="A2211" s="18" t="s">
        <v>2260</v>
      </c>
      <c r="B2211">
        <v>0.9491105161685327</v>
      </c>
      <c r="C2211" s="17">
        <f t="shared" si="34"/>
        <v>46875</v>
      </c>
      <c r="D2211" s="17"/>
      <c r="J2211" s="2" t="s">
        <v>2228</v>
      </c>
    </row>
    <row r="2212" spans="1:10" x14ac:dyDescent="0.25">
      <c r="A2212" s="18" t="s">
        <v>650</v>
      </c>
      <c r="B2212">
        <v>0.95010577477969693</v>
      </c>
      <c r="C2212" s="17">
        <f t="shared" si="34"/>
        <v>46876</v>
      </c>
      <c r="D2212" s="17"/>
      <c r="J2212" s="2" t="s">
        <v>2229</v>
      </c>
    </row>
    <row r="2213" spans="1:10" x14ac:dyDescent="0.25">
      <c r="A2213" s="18" t="s">
        <v>1580</v>
      </c>
      <c r="B2213">
        <v>0.95029856161521808</v>
      </c>
      <c r="C2213" s="17">
        <f t="shared" si="34"/>
        <v>46877</v>
      </c>
      <c r="D2213" s="17"/>
      <c r="J2213" s="2" t="s">
        <v>2230</v>
      </c>
    </row>
    <row r="2214" spans="1:10" x14ac:dyDescent="0.25">
      <c r="A2214" s="18" t="s">
        <v>1516</v>
      </c>
      <c r="B2214">
        <v>0.95046372217127628</v>
      </c>
      <c r="C2214" s="17">
        <f t="shared" si="34"/>
        <v>46878</v>
      </c>
      <c r="D2214" s="17"/>
      <c r="J2214" s="2" t="s">
        <v>2231</v>
      </c>
    </row>
    <row r="2215" spans="1:10" x14ac:dyDescent="0.25">
      <c r="A2215" s="18" t="s">
        <v>95</v>
      </c>
      <c r="B2215">
        <v>0.95059931361187078</v>
      </c>
      <c r="C2215" s="17">
        <f t="shared" si="34"/>
        <v>46879</v>
      </c>
      <c r="D2215" s="17"/>
      <c r="J2215" s="2" t="s">
        <v>2232</v>
      </c>
    </row>
    <row r="2216" spans="1:10" x14ac:dyDescent="0.25">
      <c r="A2216" s="18" t="s">
        <v>167</v>
      </c>
      <c r="B2216">
        <v>0.9507448553633393</v>
      </c>
      <c r="C2216" s="17">
        <f t="shared" si="34"/>
        <v>46880</v>
      </c>
      <c r="D2216" s="17"/>
      <c r="J2216" s="2" t="s">
        <v>2233</v>
      </c>
    </row>
    <row r="2217" spans="1:10" x14ac:dyDescent="0.25">
      <c r="A2217" s="18" t="s">
        <v>1833</v>
      </c>
      <c r="B2217">
        <v>0.95090718155392817</v>
      </c>
      <c r="C2217" s="17">
        <f t="shared" si="34"/>
        <v>46881</v>
      </c>
      <c r="D2217" s="17"/>
      <c r="J2217" s="2" t="s">
        <v>2234</v>
      </c>
    </row>
    <row r="2218" spans="1:10" x14ac:dyDescent="0.25">
      <c r="A2218" s="18" t="s">
        <v>154</v>
      </c>
      <c r="B2218">
        <v>0.95122286030803638</v>
      </c>
      <c r="C2218" s="17">
        <f t="shared" si="34"/>
        <v>46882</v>
      </c>
      <c r="D2218" s="17"/>
      <c r="J2218" s="2" t="s">
        <v>2235</v>
      </c>
    </row>
    <row r="2219" spans="1:10" x14ac:dyDescent="0.25">
      <c r="A2219" s="18" t="s">
        <v>225</v>
      </c>
      <c r="B2219">
        <v>0.95223220417807786</v>
      </c>
      <c r="C2219" s="17">
        <f t="shared" si="34"/>
        <v>46883</v>
      </c>
      <c r="D2219" s="17"/>
      <c r="J2219" s="2" t="s">
        <v>2236</v>
      </c>
    </row>
    <row r="2220" spans="1:10" x14ac:dyDescent="0.25">
      <c r="A2220" s="18" t="s">
        <v>1258</v>
      </c>
      <c r="B2220">
        <v>0.95224208906970809</v>
      </c>
      <c r="C2220" s="17">
        <f t="shared" si="34"/>
        <v>46884</v>
      </c>
      <c r="D2220" s="17"/>
      <c r="J2220" s="2" t="s">
        <v>2237</v>
      </c>
    </row>
    <row r="2221" spans="1:10" x14ac:dyDescent="0.25">
      <c r="A2221" s="18" t="s">
        <v>1441</v>
      </c>
      <c r="B2221">
        <v>0.95302008527946636</v>
      </c>
      <c r="C2221" s="17">
        <f t="shared" si="34"/>
        <v>46885</v>
      </c>
      <c r="D2221" s="17"/>
      <c r="J2221" s="2" t="s">
        <v>2238</v>
      </c>
    </row>
    <row r="2222" spans="1:10" x14ac:dyDescent="0.25">
      <c r="A2222" s="18" t="s">
        <v>1739</v>
      </c>
      <c r="B2222">
        <v>0.95409901692107535</v>
      </c>
      <c r="C2222" s="17">
        <f t="shared" si="34"/>
        <v>46886</v>
      </c>
      <c r="D2222" s="17"/>
      <c r="J2222" s="2" t="s">
        <v>2239</v>
      </c>
    </row>
    <row r="2223" spans="1:10" x14ac:dyDescent="0.25">
      <c r="A2223" s="18" t="s">
        <v>67</v>
      </c>
      <c r="B2223">
        <v>0.95466633936316592</v>
      </c>
      <c r="C2223" s="17">
        <f t="shared" si="34"/>
        <v>46887</v>
      </c>
      <c r="D2223" s="17"/>
      <c r="J2223" s="2" t="s">
        <v>2240</v>
      </c>
    </row>
    <row r="2224" spans="1:10" x14ac:dyDescent="0.25">
      <c r="A2224" s="18" t="s">
        <v>2181</v>
      </c>
      <c r="B2224">
        <v>0.9548791882106904</v>
      </c>
      <c r="C2224" s="17">
        <f t="shared" si="34"/>
        <v>46888</v>
      </c>
      <c r="D2224" s="17"/>
      <c r="J2224" s="2" t="s">
        <v>2241</v>
      </c>
    </row>
    <row r="2225" spans="1:10" x14ac:dyDescent="0.25">
      <c r="A2225" s="18" t="s">
        <v>550</v>
      </c>
      <c r="B2225">
        <v>0.954908824932448</v>
      </c>
      <c r="C2225" s="17">
        <f t="shared" si="34"/>
        <v>46889</v>
      </c>
      <c r="D2225" s="17"/>
      <c r="J2225" s="2" t="s">
        <v>58</v>
      </c>
    </row>
    <row r="2226" spans="1:10" x14ac:dyDescent="0.25">
      <c r="A2226" s="18" t="s">
        <v>1600</v>
      </c>
      <c r="B2226">
        <v>0.95621808396438257</v>
      </c>
      <c r="C2226" s="17">
        <f t="shared" si="34"/>
        <v>46890</v>
      </c>
      <c r="D2226" s="17"/>
      <c r="J2226" s="2" t="s">
        <v>2242</v>
      </c>
    </row>
    <row r="2227" spans="1:10" x14ac:dyDescent="0.25">
      <c r="A2227" s="18" t="s">
        <v>2281</v>
      </c>
      <c r="B2227">
        <v>0.95670070980924282</v>
      </c>
      <c r="C2227" s="17">
        <f t="shared" si="34"/>
        <v>46891</v>
      </c>
      <c r="D2227" s="17"/>
      <c r="J2227" s="2" t="s">
        <v>2243</v>
      </c>
    </row>
    <row r="2228" spans="1:10" x14ac:dyDescent="0.25">
      <c r="A2228" s="18" t="s">
        <v>1796</v>
      </c>
      <c r="B2228">
        <v>0.95672341152510987</v>
      </c>
      <c r="C2228" s="17">
        <f t="shared" si="34"/>
        <v>46892</v>
      </c>
      <c r="D2228" s="17"/>
      <c r="J2228" s="2" t="s">
        <v>2244</v>
      </c>
    </row>
    <row r="2229" spans="1:10" x14ac:dyDescent="0.25">
      <c r="A2229" s="18" t="s">
        <v>1969</v>
      </c>
      <c r="B2229">
        <v>0.95765756139978264</v>
      </c>
      <c r="C2229" s="17">
        <f t="shared" si="34"/>
        <v>46893</v>
      </c>
      <c r="D2229" s="17"/>
      <c r="J2229" s="2" t="s">
        <v>2245</v>
      </c>
    </row>
    <row r="2230" spans="1:10" x14ac:dyDescent="0.25">
      <c r="A2230" s="18" t="s">
        <v>476</v>
      </c>
      <c r="B2230">
        <v>0.95799668117476544</v>
      </c>
      <c r="C2230" s="17">
        <f t="shared" si="34"/>
        <v>46894</v>
      </c>
      <c r="D2230" s="17"/>
      <c r="J2230" s="2" t="s">
        <v>2246</v>
      </c>
    </row>
    <row r="2231" spans="1:10" x14ac:dyDescent="0.25">
      <c r="A2231" s="18" t="s">
        <v>1477</v>
      </c>
      <c r="B2231">
        <v>0.95801379056144298</v>
      </c>
      <c r="C2231" s="17">
        <f t="shared" si="34"/>
        <v>46895</v>
      </c>
      <c r="D2231" s="17"/>
      <c r="J2231" s="2" t="s">
        <v>2247</v>
      </c>
    </row>
    <row r="2232" spans="1:10" x14ac:dyDescent="0.25">
      <c r="A2232" s="18" t="s">
        <v>1043</v>
      </c>
      <c r="B2232">
        <v>0.95849528908721426</v>
      </c>
      <c r="C2232" s="17">
        <f t="shared" si="34"/>
        <v>46896</v>
      </c>
      <c r="D2232" s="17"/>
      <c r="J2232" s="2" t="s">
        <v>2248</v>
      </c>
    </row>
    <row r="2233" spans="1:10" x14ac:dyDescent="0.25">
      <c r="A2233" s="18" t="s">
        <v>1524</v>
      </c>
      <c r="B2233">
        <v>0.95854236284425787</v>
      </c>
      <c r="C2233" s="17">
        <f t="shared" si="34"/>
        <v>46897</v>
      </c>
      <c r="D2233" s="17"/>
      <c r="J2233" s="2" t="s">
        <v>2249</v>
      </c>
    </row>
    <row r="2234" spans="1:10" x14ac:dyDescent="0.25">
      <c r="A2234" s="18" t="s">
        <v>1823</v>
      </c>
      <c r="B2234">
        <v>0.9585489259378156</v>
      </c>
      <c r="C2234" s="17">
        <f t="shared" si="34"/>
        <v>46898</v>
      </c>
      <c r="D2234" s="17"/>
      <c r="J2234" s="2" t="s">
        <v>2250</v>
      </c>
    </row>
    <row r="2235" spans="1:10" x14ac:dyDescent="0.25">
      <c r="A2235" s="18" t="s">
        <v>1938</v>
      </c>
      <c r="B2235">
        <v>0.95860873850215134</v>
      </c>
      <c r="C2235" s="17">
        <f t="shared" si="34"/>
        <v>46899</v>
      </c>
      <c r="D2235" s="17"/>
      <c r="J2235" s="2" t="s">
        <v>2251</v>
      </c>
    </row>
    <row r="2236" spans="1:10" x14ac:dyDescent="0.25">
      <c r="A2236" s="18" t="s">
        <v>1200</v>
      </c>
      <c r="B2236">
        <v>0.95928847028148734</v>
      </c>
      <c r="C2236" s="17">
        <f t="shared" si="34"/>
        <v>46900</v>
      </c>
      <c r="D2236" s="17"/>
      <c r="J2236" s="2" t="s">
        <v>2252</v>
      </c>
    </row>
    <row r="2237" spans="1:10" x14ac:dyDescent="0.25">
      <c r="A2237" s="18" t="s">
        <v>1984</v>
      </c>
      <c r="B2237">
        <v>0.96041489596618967</v>
      </c>
      <c r="C2237" s="17">
        <f t="shared" si="34"/>
        <v>46901</v>
      </c>
      <c r="D2237" s="17"/>
      <c r="J2237" s="2" t="s">
        <v>284</v>
      </c>
    </row>
    <row r="2238" spans="1:10" x14ac:dyDescent="0.25">
      <c r="A2238" s="18" t="s">
        <v>664</v>
      </c>
      <c r="B2238">
        <v>0.96045795787031463</v>
      </c>
      <c r="C2238" s="17">
        <f t="shared" si="34"/>
        <v>46902</v>
      </c>
      <c r="D2238" s="17"/>
      <c r="J2238" s="2" t="s">
        <v>458</v>
      </c>
    </row>
    <row r="2239" spans="1:10" x14ac:dyDescent="0.25">
      <c r="A2239" s="18" t="s">
        <v>356</v>
      </c>
      <c r="B2239">
        <v>0.96201793007012693</v>
      </c>
      <c r="C2239" s="17">
        <f t="shared" si="34"/>
        <v>46903</v>
      </c>
      <c r="D2239" s="17"/>
      <c r="J2239" s="2" t="s">
        <v>2253</v>
      </c>
    </row>
    <row r="2240" spans="1:10" x14ac:dyDescent="0.25">
      <c r="A2240" s="18" t="s">
        <v>2208</v>
      </c>
      <c r="B2240">
        <v>0.96211086005962332</v>
      </c>
      <c r="C2240" s="17">
        <f t="shared" si="34"/>
        <v>46904</v>
      </c>
      <c r="D2240" s="17"/>
      <c r="J2240" s="2" t="s">
        <v>2254</v>
      </c>
    </row>
    <row r="2241" spans="1:10" x14ac:dyDescent="0.25">
      <c r="A2241" s="18" t="s">
        <v>1795</v>
      </c>
      <c r="B2241">
        <v>0.96240653234946816</v>
      </c>
      <c r="C2241" s="17">
        <f t="shared" si="34"/>
        <v>46905</v>
      </c>
      <c r="D2241" s="17"/>
      <c r="J2241" s="2" t="s">
        <v>362</v>
      </c>
    </row>
    <row r="2242" spans="1:10" x14ac:dyDescent="0.25">
      <c r="A2242" s="18" t="s">
        <v>760</v>
      </c>
      <c r="B2242">
        <v>0.96241774153018855</v>
      </c>
      <c r="C2242" s="17">
        <f t="shared" si="34"/>
        <v>46906</v>
      </c>
      <c r="D2242" s="17"/>
      <c r="J2242" s="2" t="s">
        <v>2255</v>
      </c>
    </row>
    <row r="2243" spans="1:10" x14ac:dyDescent="0.25">
      <c r="A2243" s="18" t="s">
        <v>247</v>
      </c>
      <c r="B2243">
        <v>0.96299968763887656</v>
      </c>
      <c r="C2243" s="17">
        <f t="shared" si="34"/>
        <v>46907</v>
      </c>
      <c r="D2243" s="17"/>
      <c r="J2243" s="2" t="s">
        <v>2256</v>
      </c>
    </row>
    <row r="2244" spans="1:10" x14ac:dyDescent="0.25">
      <c r="A2244" s="18" t="s">
        <v>1007</v>
      </c>
      <c r="B2244">
        <v>0.96370560231307179</v>
      </c>
      <c r="C2244" s="17">
        <f t="shared" ref="C2244:C2307" si="35">C2243+1</f>
        <v>46908</v>
      </c>
      <c r="D2244" s="17"/>
      <c r="J2244" s="2" t="s">
        <v>2257</v>
      </c>
    </row>
    <row r="2245" spans="1:10" x14ac:dyDescent="0.25">
      <c r="A2245" s="18" t="s">
        <v>826</v>
      </c>
      <c r="B2245">
        <v>0.96419179515689513</v>
      </c>
      <c r="C2245" s="17">
        <f t="shared" si="35"/>
        <v>46909</v>
      </c>
      <c r="D2245" s="17"/>
      <c r="J2245" s="2" t="s">
        <v>2258</v>
      </c>
    </row>
    <row r="2246" spans="1:10" x14ac:dyDescent="0.25">
      <c r="A2246" s="18" t="s">
        <v>840</v>
      </c>
      <c r="B2246">
        <v>0.96430569206514838</v>
      </c>
      <c r="C2246" s="17">
        <f t="shared" si="35"/>
        <v>46910</v>
      </c>
      <c r="D2246" s="17"/>
      <c r="J2246" s="2" t="s">
        <v>2259</v>
      </c>
    </row>
    <row r="2247" spans="1:10" x14ac:dyDescent="0.25">
      <c r="A2247" s="18" t="s">
        <v>872</v>
      </c>
      <c r="B2247">
        <v>0.96450169013171905</v>
      </c>
      <c r="C2247" s="17">
        <f t="shared" si="35"/>
        <v>46911</v>
      </c>
      <c r="D2247" s="17"/>
      <c r="J2247" s="2" t="s">
        <v>2260</v>
      </c>
    </row>
    <row r="2248" spans="1:10" x14ac:dyDescent="0.25">
      <c r="A2248" s="18" t="s">
        <v>1299</v>
      </c>
      <c r="B2248">
        <v>0.96552160262512443</v>
      </c>
      <c r="C2248" s="17">
        <f t="shared" si="35"/>
        <v>46912</v>
      </c>
      <c r="D2248" s="17"/>
      <c r="J2248" s="2" t="s">
        <v>2261</v>
      </c>
    </row>
    <row r="2249" spans="1:10" x14ac:dyDescent="0.25">
      <c r="A2249" s="18" t="s">
        <v>1610</v>
      </c>
      <c r="B2249">
        <v>0.96569104509571779</v>
      </c>
      <c r="C2249" s="17">
        <f t="shared" si="35"/>
        <v>46913</v>
      </c>
      <c r="D2249" s="17"/>
      <c r="J2249" s="2" t="s">
        <v>2262</v>
      </c>
    </row>
    <row r="2250" spans="1:10" x14ac:dyDescent="0.25">
      <c r="A2250" s="18" t="s">
        <v>484</v>
      </c>
      <c r="B2250">
        <v>0.96572127133499763</v>
      </c>
      <c r="C2250" s="17">
        <f t="shared" si="35"/>
        <v>46914</v>
      </c>
      <c r="D2250" s="17"/>
      <c r="J2250" s="2" t="s">
        <v>2263</v>
      </c>
    </row>
    <row r="2251" spans="1:10" x14ac:dyDescent="0.25">
      <c r="A2251" s="18" t="s">
        <v>2203</v>
      </c>
      <c r="B2251">
        <v>0.96590037682854901</v>
      </c>
      <c r="C2251" s="17">
        <f t="shared" si="35"/>
        <v>46915</v>
      </c>
      <c r="D2251" s="17"/>
      <c r="J2251" s="2" t="s">
        <v>2264</v>
      </c>
    </row>
    <row r="2252" spans="1:10" x14ac:dyDescent="0.25">
      <c r="A2252" s="18" t="s">
        <v>776</v>
      </c>
      <c r="B2252">
        <v>0.96656777235493341</v>
      </c>
      <c r="C2252" s="17">
        <f t="shared" si="35"/>
        <v>46916</v>
      </c>
      <c r="D2252" s="17"/>
      <c r="J2252" s="2" t="s">
        <v>2265</v>
      </c>
    </row>
    <row r="2253" spans="1:10" x14ac:dyDescent="0.25">
      <c r="A2253" s="18" t="s">
        <v>797</v>
      </c>
      <c r="B2253">
        <v>0.96703213644079666</v>
      </c>
      <c r="C2253" s="17">
        <f t="shared" si="35"/>
        <v>46917</v>
      </c>
      <c r="D2253" s="17"/>
      <c r="J2253" s="2" t="s">
        <v>2266</v>
      </c>
    </row>
    <row r="2254" spans="1:10" x14ac:dyDescent="0.25">
      <c r="A2254" s="18" t="s">
        <v>542</v>
      </c>
      <c r="B2254">
        <v>0.96748044647489384</v>
      </c>
      <c r="C2254" s="17">
        <f t="shared" si="35"/>
        <v>46918</v>
      </c>
      <c r="D2254" s="17"/>
      <c r="J2254" s="2" t="s">
        <v>2267</v>
      </c>
    </row>
    <row r="2255" spans="1:10" x14ac:dyDescent="0.25">
      <c r="A2255" s="18" t="s">
        <v>1803</v>
      </c>
      <c r="B2255">
        <v>0.96779105883354122</v>
      </c>
      <c r="C2255" s="17">
        <f t="shared" si="35"/>
        <v>46919</v>
      </c>
      <c r="D2255" s="17"/>
      <c r="J2255" s="2" t="s">
        <v>2268</v>
      </c>
    </row>
    <row r="2256" spans="1:10" x14ac:dyDescent="0.25">
      <c r="A2256" s="18" t="s">
        <v>1343</v>
      </c>
      <c r="B2256">
        <v>0.96833169347758941</v>
      </c>
      <c r="C2256" s="17">
        <f t="shared" si="35"/>
        <v>46920</v>
      </c>
      <c r="D2256" s="17"/>
      <c r="J2256" s="2" t="s">
        <v>2269</v>
      </c>
    </row>
    <row r="2257" spans="1:10" x14ac:dyDescent="0.25">
      <c r="A2257" s="18" t="s">
        <v>2147</v>
      </c>
      <c r="B2257">
        <v>0.96856954547863883</v>
      </c>
      <c r="C2257" s="17">
        <f t="shared" si="35"/>
        <v>46921</v>
      </c>
      <c r="D2257" s="17"/>
      <c r="J2257" s="2" t="s">
        <v>2270</v>
      </c>
    </row>
    <row r="2258" spans="1:10" x14ac:dyDescent="0.25">
      <c r="A2258" s="18" t="s">
        <v>97</v>
      </c>
      <c r="B2258">
        <v>0.96989907522321783</v>
      </c>
      <c r="C2258" s="17">
        <f t="shared" si="35"/>
        <v>46922</v>
      </c>
      <c r="D2258" s="17"/>
      <c r="J2258" s="2" t="s">
        <v>2271</v>
      </c>
    </row>
    <row r="2259" spans="1:10" x14ac:dyDescent="0.25">
      <c r="A2259" s="18" t="s">
        <v>1203</v>
      </c>
      <c r="B2259">
        <v>0.9707582948364466</v>
      </c>
      <c r="C2259" s="17">
        <f t="shared" si="35"/>
        <v>46923</v>
      </c>
      <c r="D2259" s="17"/>
      <c r="J2259" s="2" t="s">
        <v>242</v>
      </c>
    </row>
    <row r="2260" spans="1:10" x14ac:dyDescent="0.25">
      <c r="A2260" s="18" t="s">
        <v>2178</v>
      </c>
      <c r="B2260">
        <v>0.9715859063231389</v>
      </c>
      <c r="C2260" s="17">
        <f t="shared" si="35"/>
        <v>46924</v>
      </c>
      <c r="D2260" s="17"/>
      <c r="J2260" s="2" t="s">
        <v>2272</v>
      </c>
    </row>
    <row r="2261" spans="1:10" x14ac:dyDescent="0.25">
      <c r="A2261" s="18" t="s">
        <v>254</v>
      </c>
      <c r="B2261">
        <v>0.97227163093938573</v>
      </c>
      <c r="C2261" s="17">
        <f t="shared" si="35"/>
        <v>46925</v>
      </c>
      <c r="D2261" s="17"/>
      <c r="J2261" s="2" t="s">
        <v>2273</v>
      </c>
    </row>
    <row r="2262" spans="1:10" x14ac:dyDescent="0.25">
      <c r="A2262" s="18" t="s">
        <v>2015</v>
      </c>
      <c r="B2262">
        <v>0.97282224663588779</v>
      </c>
      <c r="C2262" s="17">
        <f t="shared" si="35"/>
        <v>46926</v>
      </c>
      <c r="D2262" s="17"/>
      <c r="J2262" s="2" t="s">
        <v>2274</v>
      </c>
    </row>
    <row r="2263" spans="1:10" x14ac:dyDescent="0.25">
      <c r="A2263" s="18" t="s">
        <v>265</v>
      </c>
      <c r="B2263">
        <v>0.97314435699434632</v>
      </c>
      <c r="C2263" s="17">
        <f t="shared" si="35"/>
        <v>46927</v>
      </c>
      <c r="D2263" s="17"/>
      <c r="J2263" s="2" t="s">
        <v>2275</v>
      </c>
    </row>
    <row r="2264" spans="1:10" x14ac:dyDescent="0.25">
      <c r="A2264" s="18" t="s">
        <v>584</v>
      </c>
      <c r="B2264">
        <v>0.97348497147982105</v>
      </c>
      <c r="C2264" s="17">
        <f t="shared" si="35"/>
        <v>46928</v>
      </c>
      <c r="D2264" s="17"/>
      <c r="J2264" s="2" t="s">
        <v>2276</v>
      </c>
    </row>
    <row r="2265" spans="1:10" x14ac:dyDescent="0.25">
      <c r="A2265" s="18" t="s">
        <v>780</v>
      </c>
      <c r="B2265">
        <v>0.97371545929132153</v>
      </c>
      <c r="C2265" s="17">
        <f t="shared" si="35"/>
        <v>46929</v>
      </c>
      <c r="D2265" s="17"/>
      <c r="J2265" s="2" t="s">
        <v>273</v>
      </c>
    </row>
    <row r="2266" spans="1:10" x14ac:dyDescent="0.25">
      <c r="A2266" s="18" t="s">
        <v>1785</v>
      </c>
      <c r="B2266">
        <v>0.97376767239283246</v>
      </c>
      <c r="C2266" s="17">
        <f t="shared" si="35"/>
        <v>46930</v>
      </c>
      <c r="D2266" s="17"/>
      <c r="J2266" s="2" t="s">
        <v>45</v>
      </c>
    </row>
    <row r="2267" spans="1:10" x14ac:dyDescent="0.25">
      <c r="A2267" s="18" t="s">
        <v>1238</v>
      </c>
      <c r="B2267">
        <v>0.97385642952451557</v>
      </c>
      <c r="C2267" s="17">
        <f t="shared" si="35"/>
        <v>46931</v>
      </c>
      <c r="D2267" s="17"/>
      <c r="J2267" s="2" t="s">
        <v>2277</v>
      </c>
    </row>
    <row r="2268" spans="1:10" x14ac:dyDescent="0.25">
      <c r="A2268" s="18" t="s">
        <v>2136</v>
      </c>
      <c r="B2268">
        <v>0.97613680764959965</v>
      </c>
      <c r="C2268" s="17">
        <f t="shared" si="35"/>
        <v>46932</v>
      </c>
      <c r="D2268" s="17"/>
      <c r="J2268" s="2" t="s">
        <v>2278</v>
      </c>
    </row>
    <row r="2269" spans="1:10" x14ac:dyDescent="0.25">
      <c r="A2269" s="18" t="s">
        <v>409</v>
      </c>
      <c r="B2269">
        <v>0.97648975203968558</v>
      </c>
      <c r="C2269" s="17">
        <f t="shared" si="35"/>
        <v>46933</v>
      </c>
      <c r="D2269" s="17"/>
      <c r="J2269" s="2" t="s">
        <v>2279</v>
      </c>
    </row>
    <row r="2270" spans="1:10" x14ac:dyDescent="0.25">
      <c r="A2270" s="18" t="s">
        <v>368</v>
      </c>
      <c r="B2270">
        <v>0.97709404751880158</v>
      </c>
      <c r="C2270" s="17">
        <f t="shared" si="35"/>
        <v>46934</v>
      </c>
      <c r="D2270" s="17"/>
      <c r="J2270" s="2" t="s">
        <v>2280</v>
      </c>
    </row>
    <row r="2271" spans="1:10" x14ac:dyDescent="0.25">
      <c r="A2271" s="18" t="s">
        <v>1846</v>
      </c>
      <c r="B2271">
        <v>0.97739302186595323</v>
      </c>
      <c r="C2271" s="17">
        <f t="shared" si="35"/>
        <v>46935</v>
      </c>
      <c r="D2271" s="17"/>
      <c r="J2271" s="2" t="s">
        <v>2281</v>
      </c>
    </row>
    <row r="2272" spans="1:10" x14ac:dyDescent="0.25">
      <c r="A2272" s="18" t="s">
        <v>291</v>
      </c>
      <c r="B2272">
        <v>0.97770345908116862</v>
      </c>
      <c r="C2272" s="17">
        <f t="shared" si="35"/>
        <v>46936</v>
      </c>
      <c r="D2272" s="17"/>
      <c r="J2272" s="2" t="s">
        <v>335</v>
      </c>
    </row>
    <row r="2273" spans="1:10" x14ac:dyDescent="0.25">
      <c r="A2273" s="18" t="s">
        <v>2239</v>
      </c>
      <c r="B2273">
        <v>0.9777649431579909</v>
      </c>
      <c r="C2273" s="17">
        <f t="shared" si="35"/>
        <v>46937</v>
      </c>
      <c r="D2273" s="17"/>
      <c r="J2273" s="2" t="s">
        <v>2282</v>
      </c>
    </row>
    <row r="2274" spans="1:10" x14ac:dyDescent="0.25">
      <c r="A2274" s="18" t="s">
        <v>585</v>
      </c>
      <c r="B2274">
        <v>0.97865816953655094</v>
      </c>
      <c r="C2274" s="17">
        <f t="shared" si="35"/>
        <v>46938</v>
      </c>
      <c r="D2274" s="17"/>
      <c r="J2274" s="2" t="s">
        <v>2283</v>
      </c>
    </row>
    <row r="2275" spans="1:10" x14ac:dyDescent="0.25">
      <c r="A2275" s="18" t="s">
        <v>796</v>
      </c>
      <c r="B2275">
        <v>0.97865973056793965</v>
      </c>
      <c r="C2275" s="17">
        <f t="shared" si="35"/>
        <v>46939</v>
      </c>
      <c r="D2275" s="17"/>
      <c r="J2275" s="2" t="s">
        <v>177</v>
      </c>
    </row>
    <row r="2276" spans="1:10" x14ac:dyDescent="0.25">
      <c r="A2276" s="18" t="s">
        <v>1339</v>
      </c>
      <c r="B2276">
        <v>0.97873430147986273</v>
      </c>
      <c r="C2276" s="17">
        <f t="shared" si="35"/>
        <v>46940</v>
      </c>
      <c r="D2276" s="17"/>
      <c r="J2276" s="2" t="s">
        <v>2284</v>
      </c>
    </row>
    <row r="2277" spans="1:10" x14ac:dyDescent="0.25">
      <c r="A2277" s="18" t="s">
        <v>306</v>
      </c>
      <c r="B2277">
        <v>0.97921383963314379</v>
      </c>
      <c r="C2277" s="17">
        <f t="shared" si="35"/>
        <v>46941</v>
      </c>
      <c r="D2277" s="17"/>
      <c r="J2277" s="2" t="s">
        <v>2285</v>
      </c>
    </row>
    <row r="2278" spans="1:10" x14ac:dyDescent="0.25">
      <c r="A2278" s="18" t="s">
        <v>261</v>
      </c>
      <c r="B2278">
        <v>0.97923088130434677</v>
      </c>
      <c r="C2278" s="17">
        <f t="shared" si="35"/>
        <v>46942</v>
      </c>
      <c r="D2278" s="17"/>
      <c r="J2278" s="2" t="s">
        <v>2286</v>
      </c>
    </row>
    <row r="2279" spans="1:10" x14ac:dyDescent="0.25">
      <c r="A2279" s="18" t="s">
        <v>577</v>
      </c>
      <c r="B2279">
        <v>0.98094205528505929</v>
      </c>
      <c r="C2279" s="17">
        <f t="shared" si="35"/>
        <v>46943</v>
      </c>
      <c r="D2279" s="17"/>
      <c r="J2279" s="2" t="s">
        <v>2287</v>
      </c>
    </row>
    <row r="2280" spans="1:10" x14ac:dyDescent="0.25">
      <c r="A2280" s="18" t="s">
        <v>820</v>
      </c>
      <c r="B2280">
        <v>0.98100165279313867</v>
      </c>
      <c r="C2280" s="17">
        <f t="shared" si="35"/>
        <v>46944</v>
      </c>
      <c r="D2280" s="17"/>
      <c r="J2280" s="2" t="s">
        <v>2288</v>
      </c>
    </row>
    <row r="2281" spans="1:10" x14ac:dyDescent="0.25">
      <c r="A2281" s="18" t="s">
        <v>1740</v>
      </c>
      <c r="B2281">
        <v>0.98131304714887835</v>
      </c>
      <c r="C2281" s="17">
        <f t="shared" si="35"/>
        <v>46945</v>
      </c>
      <c r="D2281" s="17"/>
      <c r="J2281" s="2" t="s">
        <v>185</v>
      </c>
    </row>
    <row r="2282" spans="1:10" x14ac:dyDescent="0.25">
      <c r="A2282" s="18" t="s">
        <v>245</v>
      </c>
      <c r="B2282">
        <v>0.98276275341655039</v>
      </c>
      <c r="C2282" s="17">
        <f t="shared" si="35"/>
        <v>46946</v>
      </c>
      <c r="D2282" s="17"/>
      <c r="J2282" s="2" t="s">
        <v>2289</v>
      </c>
    </row>
    <row r="2283" spans="1:10" x14ac:dyDescent="0.25">
      <c r="A2283" s="18" t="s">
        <v>1042</v>
      </c>
      <c r="B2283">
        <v>0.98320412992885842</v>
      </c>
      <c r="C2283" s="17">
        <f t="shared" si="35"/>
        <v>46947</v>
      </c>
      <c r="D2283" s="17"/>
      <c r="J2283" s="2" t="s">
        <v>2290</v>
      </c>
    </row>
    <row r="2284" spans="1:10" x14ac:dyDescent="0.25">
      <c r="A2284" s="18" t="s">
        <v>1306</v>
      </c>
      <c r="B2284">
        <v>0.9837308119268795</v>
      </c>
      <c r="C2284" s="17">
        <f t="shared" si="35"/>
        <v>46948</v>
      </c>
      <c r="D2284" s="17"/>
      <c r="J2284" s="2" t="s">
        <v>2291</v>
      </c>
    </row>
    <row r="2285" spans="1:10" x14ac:dyDescent="0.25">
      <c r="A2285" s="18" t="s">
        <v>875</v>
      </c>
      <c r="B2285">
        <v>0.98436181944807066</v>
      </c>
      <c r="C2285" s="17">
        <f t="shared" si="35"/>
        <v>46949</v>
      </c>
      <c r="D2285" s="17"/>
      <c r="J2285" s="2" t="s">
        <v>203</v>
      </c>
    </row>
    <row r="2286" spans="1:10" x14ac:dyDescent="0.25">
      <c r="A2286" s="18" t="s">
        <v>2099</v>
      </c>
      <c r="B2286">
        <v>0.98447361349860862</v>
      </c>
      <c r="C2286" s="17">
        <f t="shared" si="35"/>
        <v>46950</v>
      </c>
      <c r="D2286" s="17"/>
      <c r="J2286" s="2" t="s">
        <v>136</v>
      </c>
    </row>
    <row r="2287" spans="1:10" x14ac:dyDescent="0.25">
      <c r="A2287" s="18" t="s">
        <v>457</v>
      </c>
      <c r="B2287">
        <v>0.98486497046332944</v>
      </c>
      <c r="C2287" s="17">
        <f t="shared" si="35"/>
        <v>46951</v>
      </c>
      <c r="D2287" s="17"/>
      <c r="J2287" s="2" t="s">
        <v>2292</v>
      </c>
    </row>
    <row r="2288" spans="1:10" x14ac:dyDescent="0.25">
      <c r="A2288" s="18" t="s">
        <v>979</v>
      </c>
      <c r="B2288">
        <v>0.98599876899851935</v>
      </c>
      <c r="C2288" s="17">
        <f t="shared" si="35"/>
        <v>46952</v>
      </c>
      <c r="D2288" s="17"/>
      <c r="J2288" s="2" t="s">
        <v>4</v>
      </c>
    </row>
    <row r="2289" spans="1:10" x14ac:dyDescent="0.25">
      <c r="A2289" s="18" t="s">
        <v>1020</v>
      </c>
      <c r="B2289">
        <v>0.98608604264025079</v>
      </c>
      <c r="C2289" s="17">
        <f t="shared" si="35"/>
        <v>46953</v>
      </c>
      <c r="D2289" s="17"/>
      <c r="J2289" s="2" t="s">
        <v>2293</v>
      </c>
    </row>
    <row r="2290" spans="1:10" x14ac:dyDescent="0.25">
      <c r="A2290" s="18" t="s">
        <v>1180</v>
      </c>
      <c r="B2290">
        <v>0.9871264639740257</v>
      </c>
      <c r="C2290" s="17">
        <f t="shared" si="35"/>
        <v>46954</v>
      </c>
      <c r="D2290" s="17"/>
      <c r="J2290" s="2" t="s">
        <v>2294</v>
      </c>
    </row>
    <row r="2291" spans="1:10" x14ac:dyDescent="0.25">
      <c r="A2291" s="18" t="s">
        <v>1054</v>
      </c>
      <c r="B2291">
        <v>0.98785247797924347</v>
      </c>
      <c r="C2291" s="17">
        <f t="shared" si="35"/>
        <v>46955</v>
      </c>
      <c r="D2291" s="17"/>
      <c r="J2291" s="2" t="s">
        <v>2295</v>
      </c>
    </row>
    <row r="2292" spans="1:10" x14ac:dyDescent="0.25">
      <c r="A2292" s="18" t="s">
        <v>1207</v>
      </c>
      <c r="B2292">
        <v>0.98931672130147774</v>
      </c>
      <c r="C2292" s="17">
        <f t="shared" si="35"/>
        <v>46956</v>
      </c>
      <c r="D2292" s="17"/>
      <c r="J2292" s="2" t="s">
        <v>2296</v>
      </c>
    </row>
    <row r="2293" spans="1:10" x14ac:dyDescent="0.25">
      <c r="A2293" s="18" t="s">
        <v>1056</v>
      </c>
      <c r="B2293">
        <v>0.98942951143683489</v>
      </c>
      <c r="C2293" s="17">
        <f t="shared" si="35"/>
        <v>46957</v>
      </c>
      <c r="D2293" s="17"/>
      <c r="J2293" s="2" t="s">
        <v>137</v>
      </c>
    </row>
    <row r="2294" spans="1:10" x14ac:dyDescent="0.25">
      <c r="A2294" s="18" t="s">
        <v>1741</v>
      </c>
      <c r="B2294">
        <v>0.98969820653967266</v>
      </c>
      <c r="C2294" s="17">
        <f t="shared" si="35"/>
        <v>46958</v>
      </c>
      <c r="D2294" s="17"/>
      <c r="J2294" s="2" t="s">
        <v>2297</v>
      </c>
    </row>
    <row r="2295" spans="1:10" x14ac:dyDescent="0.25">
      <c r="A2295" s="18" t="s">
        <v>843</v>
      </c>
      <c r="B2295">
        <v>0.98978816596206598</v>
      </c>
      <c r="C2295" s="17">
        <f t="shared" si="35"/>
        <v>46959</v>
      </c>
      <c r="D2295" s="17"/>
      <c r="J2295" s="2" t="s">
        <v>227</v>
      </c>
    </row>
    <row r="2296" spans="1:10" x14ac:dyDescent="0.25">
      <c r="A2296" s="18" t="s">
        <v>2145</v>
      </c>
      <c r="B2296">
        <v>0.99021686706611811</v>
      </c>
      <c r="C2296" s="17">
        <f t="shared" si="35"/>
        <v>46960</v>
      </c>
      <c r="D2296" s="17"/>
      <c r="J2296" s="2" t="s">
        <v>2298</v>
      </c>
    </row>
    <row r="2297" spans="1:10" x14ac:dyDescent="0.25">
      <c r="A2297" s="18" t="s">
        <v>1380</v>
      </c>
      <c r="B2297">
        <v>0.99088222531757186</v>
      </c>
      <c r="C2297" s="17">
        <f t="shared" si="35"/>
        <v>46961</v>
      </c>
      <c r="D2297" s="17"/>
      <c r="J2297" s="2" t="s">
        <v>2299</v>
      </c>
    </row>
    <row r="2298" spans="1:10" x14ac:dyDescent="0.25">
      <c r="A2298" s="18" t="s">
        <v>469</v>
      </c>
      <c r="B2298">
        <v>0.99107635810070127</v>
      </c>
      <c r="C2298" s="17">
        <f t="shared" si="35"/>
        <v>46962</v>
      </c>
      <c r="D2298" s="17"/>
      <c r="J2298" s="2" t="s">
        <v>2300</v>
      </c>
    </row>
    <row r="2299" spans="1:10" x14ac:dyDescent="0.25">
      <c r="A2299" s="18" t="s">
        <v>1057</v>
      </c>
      <c r="B2299">
        <v>0.99170765334829059</v>
      </c>
      <c r="C2299" s="17">
        <f t="shared" si="35"/>
        <v>46963</v>
      </c>
      <c r="D2299" s="17"/>
      <c r="J2299" s="2" t="s">
        <v>2301</v>
      </c>
    </row>
    <row r="2300" spans="1:10" x14ac:dyDescent="0.25">
      <c r="A2300" s="18" t="s">
        <v>1684</v>
      </c>
      <c r="B2300">
        <v>0.99196111415123733</v>
      </c>
      <c r="C2300" s="17">
        <f t="shared" si="35"/>
        <v>46964</v>
      </c>
      <c r="D2300" s="17"/>
      <c r="J2300" s="2" t="s">
        <v>2302</v>
      </c>
    </row>
    <row r="2301" spans="1:10" x14ac:dyDescent="0.25">
      <c r="A2301" s="18" t="s">
        <v>1574</v>
      </c>
      <c r="B2301">
        <v>0.99205956129884743</v>
      </c>
      <c r="C2301" s="17">
        <f t="shared" si="35"/>
        <v>46965</v>
      </c>
      <c r="D2301" s="17"/>
      <c r="J2301" s="2" t="s">
        <v>268</v>
      </c>
    </row>
    <row r="2302" spans="1:10" x14ac:dyDescent="0.25">
      <c r="A2302" s="18" t="s">
        <v>566</v>
      </c>
      <c r="B2302">
        <v>0.99226127869939262</v>
      </c>
      <c r="C2302" s="17">
        <f t="shared" si="35"/>
        <v>46966</v>
      </c>
      <c r="D2302" s="17"/>
      <c r="J2302" s="2" t="s">
        <v>2303</v>
      </c>
    </row>
    <row r="2303" spans="1:10" x14ac:dyDescent="0.25">
      <c r="A2303" s="18" t="s">
        <v>391</v>
      </c>
      <c r="B2303">
        <v>0.99330292973033452</v>
      </c>
      <c r="C2303" s="17">
        <f t="shared" si="35"/>
        <v>46967</v>
      </c>
      <c r="D2303" s="17"/>
      <c r="J2303" s="2" t="s">
        <v>2304</v>
      </c>
    </row>
    <row r="2304" spans="1:10" x14ac:dyDescent="0.25">
      <c r="A2304" s="18" t="s">
        <v>1991</v>
      </c>
      <c r="B2304">
        <v>0.99365656537909541</v>
      </c>
      <c r="C2304" s="17">
        <f t="shared" si="35"/>
        <v>46968</v>
      </c>
      <c r="D2304" s="17"/>
      <c r="J2304" s="2" t="s">
        <v>2305</v>
      </c>
    </row>
    <row r="2305" spans="1:10" x14ac:dyDescent="0.25">
      <c r="A2305" s="18" t="s">
        <v>1025</v>
      </c>
      <c r="B2305">
        <v>0.99412952563319779</v>
      </c>
      <c r="C2305" s="17">
        <f t="shared" si="35"/>
        <v>46969</v>
      </c>
      <c r="D2305" s="17"/>
      <c r="J2305" s="2" t="s">
        <v>2306</v>
      </c>
    </row>
    <row r="2306" spans="1:10" x14ac:dyDescent="0.25">
      <c r="A2306" s="18" t="s">
        <v>766</v>
      </c>
      <c r="B2306">
        <v>0.99426746664262311</v>
      </c>
      <c r="C2306" s="17">
        <f t="shared" si="35"/>
        <v>46970</v>
      </c>
      <c r="D2306" s="17"/>
      <c r="J2306" s="2" t="s">
        <v>2307</v>
      </c>
    </row>
    <row r="2307" spans="1:10" x14ac:dyDescent="0.25">
      <c r="A2307" s="18" t="s">
        <v>1070</v>
      </c>
      <c r="B2307">
        <v>0.99439723048399586</v>
      </c>
      <c r="C2307" s="17">
        <f t="shared" si="35"/>
        <v>46971</v>
      </c>
      <c r="D2307" s="17"/>
      <c r="J2307" s="2" t="s">
        <v>2308</v>
      </c>
    </row>
    <row r="2308" spans="1:10" x14ac:dyDescent="0.25">
      <c r="A2308" s="18" t="s">
        <v>1515</v>
      </c>
      <c r="B2308">
        <v>0.99466433304785351</v>
      </c>
      <c r="C2308" s="17">
        <f t="shared" ref="C2308:C2317" si="36">C2307+1</f>
        <v>46972</v>
      </c>
      <c r="D2308" s="17"/>
      <c r="J2308" s="2" t="s">
        <v>2309</v>
      </c>
    </row>
    <row r="2309" spans="1:10" x14ac:dyDescent="0.25">
      <c r="A2309" s="18" t="s">
        <v>1933</v>
      </c>
      <c r="B2309">
        <v>0.99505734862981399</v>
      </c>
      <c r="C2309" s="17">
        <f t="shared" si="36"/>
        <v>46973</v>
      </c>
      <c r="D2309" s="17"/>
      <c r="J2309" s="2" t="s">
        <v>2310</v>
      </c>
    </row>
    <row r="2310" spans="1:10" x14ac:dyDescent="0.25">
      <c r="A2310" s="18" t="s">
        <v>647</v>
      </c>
      <c r="B2310">
        <v>0.99529671680109988</v>
      </c>
      <c r="C2310" s="17">
        <f t="shared" si="36"/>
        <v>46974</v>
      </c>
      <c r="D2310" s="17"/>
      <c r="J2310" s="2" t="s">
        <v>2311</v>
      </c>
    </row>
    <row r="2311" spans="1:10" x14ac:dyDescent="0.25">
      <c r="A2311" s="18" t="s">
        <v>925</v>
      </c>
      <c r="B2311">
        <v>0.99607340539644307</v>
      </c>
      <c r="C2311" s="17">
        <f t="shared" si="36"/>
        <v>46975</v>
      </c>
      <c r="D2311" s="17"/>
      <c r="J2311" s="2" t="s">
        <v>7</v>
      </c>
    </row>
    <row r="2312" spans="1:10" x14ac:dyDescent="0.25">
      <c r="A2312" s="18" t="s">
        <v>1747</v>
      </c>
      <c r="B2312">
        <v>0.99645821975270887</v>
      </c>
      <c r="C2312" s="17">
        <f t="shared" si="36"/>
        <v>46976</v>
      </c>
      <c r="D2312" s="17"/>
      <c r="J2312" s="2" t="s">
        <v>200</v>
      </c>
    </row>
    <row r="2313" spans="1:10" x14ac:dyDescent="0.25">
      <c r="A2313" s="18" t="s">
        <v>916</v>
      </c>
      <c r="B2313">
        <v>0.99814227327114868</v>
      </c>
      <c r="C2313" s="17">
        <f t="shared" si="36"/>
        <v>46977</v>
      </c>
      <c r="D2313" s="17"/>
      <c r="J2313" s="2" t="s">
        <v>2312</v>
      </c>
    </row>
    <row r="2314" spans="1:10" x14ac:dyDescent="0.25">
      <c r="A2314" s="18" t="s">
        <v>1815</v>
      </c>
      <c r="B2314">
        <v>0.99863431062670771</v>
      </c>
      <c r="C2314" s="17">
        <f t="shared" si="36"/>
        <v>46978</v>
      </c>
      <c r="D2314" s="17"/>
      <c r="J2314" s="2" t="s">
        <v>2313</v>
      </c>
    </row>
    <row r="2315" spans="1:10" x14ac:dyDescent="0.25">
      <c r="A2315" s="18" t="s">
        <v>214</v>
      </c>
      <c r="B2315">
        <v>0.99905148970393376</v>
      </c>
      <c r="C2315" s="17">
        <f t="shared" si="36"/>
        <v>46979</v>
      </c>
      <c r="D2315" s="17"/>
      <c r="J2315" s="2" t="s">
        <v>314</v>
      </c>
    </row>
    <row r="2316" spans="1:10" x14ac:dyDescent="0.25">
      <c r="A2316" s="18" t="s">
        <v>798</v>
      </c>
      <c r="B2316">
        <v>0.99910554651193528</v>
      </c>
      <c r="C2316" s="17">
        <f t="shared" si="36"/>
        <v>46980</v>
      </c>
      <c r="D2316" s="17"/>
      <c r="J2316" s="2" t="s">
        <v>2314</v>
      </c>
    </row>
    <row r="2317" spans="1:10" x14ac:dyDescent="0.25">
      <c r="A2317" s="18" t="s">
        <v>1670</v>
      </c>
      <c r="B2317">
        <v>0.99940325821009712</v>
      </c>
      <c r="C2317" s="17">
        <f t="shared" si="36"/>
        <v>46981</v>
      </c>
      <c r="D2317" s="17"/>
      <c r="J2317" s="2" t="e">
        <v>#VALUE!</v>
      </c>
    </row>
  </sheetData>
  <sheetProtection sheet="1" objects="1" scenarios="1"/>
  <sortState ref="A2:B2317">
    <sortCondition ref="B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A7"/>
  <sheetViews>
    <sheetView zoomScale="130" zoomScaleNormal="130" workbookViewId="0"/>
  </sheetViews>
  <sheetFormatPr defaultRowHeight="15" x14ac:dyDescent="0.25"/>
  <cols>
    <col min="3" max="3" width="9.140625" customWidth="1"/>
    <col min="4" max="4" width="6.42578125" customWidth="1"/>
    <col min="5" max="5" width="1.28515625" customWidth="1"/>
    <col min="6" max="6" width="6.42578125" customWidth="1"/>
    <col min="7" max="7" width="1.28515625" customWidth="1"/>
    <col min="8" max="8" width="6.42578125" customWidth="1"/>
    <col min="9" max="9" width="1.28515625" customWidth="1"/>
    <col min="10" max="10" width="6.42578125" customWidth="1"/>
    <col min="11" max="11" width="1.28515625" customWidth="1"/>
    <col min="12" max="12" width="6.42578125" customWidth="1"/>
    <col min="13" max="13" width="1.28515625" customWidth="1"/>
    <col min="14" max="14" width="6.42578125" customWidth="1"/>
    <col min="15" max="15" width="1.28515625" customWidth="1"/>
    <col min="16" max="16" width="6.42578125" customWidth="1"/>
    <col min="17" max="17" width="1.28515625" customWidth="1"/>
    <col min="18" max="18" width="6.42578125" customWidth="1"/>
    <col min="19" max="19" width="1.28515625" customWidth="1"/>
    <col min="20" max="20" width="6.42578125" customWidth="1"/>
    <col min="21" max="21" width="1.28515625" customWidth="1"/>
    <col min="22" max="22" width="6.42578125" customWidth="1"/>
    <col min="23" max="23" width="1.28515625" customWidth="1"/>
    <col min="24" max="24" width="6.42578125" customWidth="1"/>
  </cols>
  <sheetData>
    <row r="4" ht="64.5" customHeight="1" x14ac:dyDescent="0.25"/>
    <row r="5" ht="6.75" customHeight="1" x14ac:dyDescent="0.25"/>
    <row r="6" ht="70.5" customHeight="1" x14ac:dyDescent="0.25"/>
    <row r="7" ht="6.75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Wordle</vt:lpstr>
      <vt:lpstr>Stats_dark</vt:lpstr>
      <vt:lpstr>Stats_light</vt:lpstr>
      <vt:lpstr>Instructions</vt:lpstr>
      <vt:lpstr>Administrator</vt:lpstr>
      <vt:lpstr>User Scores</vt:lpstr>
      <vt:lpstr>to copy</vt:lpstr>
      <vt:lpstr>wordle word list</vt:lpstr>
      <vt:lpstr>keyboard 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Beattie</dc:creator>
  <cp:lastModifiedBy>Lucas Beattie</cp:lastModifiedBy>
  <dcterms:created xsi:type="dcterms:W3CDTF">2022-01-26T14:26:17Z</dcterms:created>
  <dcterms:modified xsi:type="dcterms:W3CDTF">2022-04-22T18:44:30Z</dcterms:modified>
</cp:coreProperties>
</file>